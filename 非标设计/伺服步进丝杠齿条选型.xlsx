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说明" sheetId="1" state="visible" r:id="rId1"/>
    <sheet name="输入" sheetId="2" state="visible" r:id="rId2"/>
    <sheet name="推荐" sheetId="3" state="visible" r:id="rId3"/>
    <sheet name="计算过程" sheetId="4" state="visible" r:id="rId4"/>
    <sheet name="对照" sheetId="5" state="visible" r:id="rId5"/>
    <sheet name="会审" sheetId="6" state="visible" r:id="rId6"/>
    <sheet name="计算" sheetId="7" state="visible" r:id="rId7"/>
    <sheet name="目录丝杠" sheetId="8" state="visible" r:id="rId8"/>
    <sheet name="目录电机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1"/>
    </font>
    <font>
      <name val="微软雅黑"/>
      <b val="1"/>
      <color rgb="001B4F3A"/>
      <sz val="16"/>
    </font>
    <font>
      <name val="微软雅黑"/>
      <color rgb="00666666"/>
      <sz val="10"/>
    </font>
    <font>
      <name val="微软雅黑"/>
      <sz val="10"/>
    </font>
    <font>
      <name val="微软雅黑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1F3F5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4" borderId="1" applyAlignment="1" applyProtection="1" pivotButton="0" quotePrefix="0" xfId="0">
      <alignment vertical="center"/>
      <protection locked="0" hidden="0"/>
    </xf>
    <xf numFmtId="0" fontId="4" fillId="0" borderId="1" applyAlignment="1" pivotButton="0" quotePrefix="0" xfId="0">
      <alignment vertical="center"/>
    </xf>
    <xf numFmtId="2" fontId="2" fillId="4" borderId="1" applyAlignment="1" applyProtection="1" pivotButton="0" quotePrefix="0" xfId="0">
      <alignment vertical="center"/>
      <protection locked="0" hidden="0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非标设计</t>
        </is>
      </c>
    </row>
    <row r="3" ht="28" customHeight="1">
      <c r="A3" s="2" t="inlineStr">
        <is>
          <t>非标直线传动选型（伺服 / 步进 / 丝杠 / 齿轮齿条）。与托辊铝座无关。只改「输入」黄格。</t>
        </is>
      </c>
      <c r="B3" s="3" t="n"/>
      <c r="C3" s="3" t="n"/>
      <c r="D3" s="4" t="n"/>
    </row>
    <row r="4" ht="28" customHeight="1">
      <c r="A4" s="2" t="inlineStr">
        <is>
          <t>1. 只改「输入」黄色格子和下拉。</t>
        </is>
      </c>
      <c r="B4" s="3" t="n"/>
      <c r="C4" s="3" t="n"/>
      <c r="D4" s="4" t="n"/>
    </row>
    <row r="5" ht="28" customHeight="1">
      <c r="A5" s="2" t="inlineStr">
        <is>
          <t>2. 安装方向可选：水平、垂直向上、垂直向下、倾斜上坡、倾斜下坡。倾斜必须填倾角。</t>
        </is>
      </c>
      <c r="B5" s="3" t="n"/>
      <c r="C5" s="3" t="n"/>
      <c r="D5" s="4" t="n"/>
    </row>
    <row r="6" ht="28" customHeight="1">
      <c r="A6" s="2" t="inlineStr">
        <is>
          <t>3. 工件质量和机构质量分开填。不要用估计的 640 kg 当架子重。</t>
        </is>
      </c>
      <c r="B6" s="3" t="n"/>
      <c r="C6" s="3" t="n"/>
      <c r="D6" s="4" t="n"/>
    </row>
    <row r="7" ht="28" customHeight="1">
      <c r="A7" s="2" t="inlineStr">
        <is>
          <t>4. 看「推荐」：结果右边就是公式和代入数字。完整 22 步在「计算过程」。采购没有该型号时，在输入页手选，到「对照」看安全系数。</t>
        </is>
      </c>
      <c r="B7" s="3" t="n"/>
      <c r="C7" s="3" t="n"/>
      <c r="D7" s="4" t="n"/>
    </row>
    <row r="8" ht="28" customHeight="1">
      <c r="A8" s="2" t="inlineStr">
        <is>
          <t>5. 丝杠和齿轮齿条用同一推力对比。齿条请填减速比（默认 10）；直连=1 时力矩大，推荐常为无满足项。BK/BF 只属于丝杠。</t>
        </is>
      </c>
      <c r="B8" s="3" t="n"/>
      <c r="C8" s="3" t="n"/>
      <c r="D8" s="4" t="n"/>
    </row>
    <row r="9" ht="28" customHeight="1">
      <c r="A9" s="2" t="inlineStr">
        <is>
          <t>6. 会审页是工艺、机械、计算机三句意见，随计算结果变。</t>
        </is>
      </c>
      <c r="B9" s="3" t="n"/>
      <c r="C9" s="3" t="n"/>
      <c r="D9" s="4" t="n"/>
    </row>
    <row r="10" ht="28" customHeight="1">
      <c r="A10" s="2" t="inlineStr">
        <is>
          <t>7. 用 Excel 或 WPS 打开。若公式显示为文字，检查单元格格式为「常规」并允许计算。</t>
        </is>
      </c>
      <c r="B10" s="3" t="n"/>
      <c r="C10" s="3" t="n"/>
      <c r="D10" s="4" t="n"/>
    </row>
    <row r="11" ht="28" customHeight="1">
      <c r="A11" s="2" t="inlineStr">
        <is>
          <t>8. 目录里 3210/3220 标现货=0，自动推荐不会选它们，手选仍可选（常无货）。</t>
        </is>
      </c>
      <c r="B11" s="3" t="n"/>
      <c r="C11" s="3" t="n"/>
      <c r="D11" s="4" t="n"/>
    </row>
    <row r="12" ht="28" customHeight="1">
      <c r="A12" s="2" t="inlineStr">
        <is>
          <t>公式：F = mg·sinθ + μmg·cosθ + ma + F外；丝杠 T=F·P/(2πη)，n=v×1000/P；齿条齿轮 n0=v×1000/(π m z)，电机 n=n0×i，T=F·(mz/2000)/η/i/η减。</t>
        </is>
      </c>
      <c r="B12" s="3" t="n"/>
      <c r="C12" s="3" t="n"/>
      <c r="D12" s="4" t="n"/>
    </row>
  </sheetData>
  <mergeCells count="10">
    <mergeCell ref="A5:D5"/>
    <mergeCell ref="A9:D9"/>
    <mergeCell ref="A8:D8"/>
    <mergeCell ref="A6:D6"/>
    <mergeCell ref="A12:D12"/>
    <mergeCell ref="A4:D4"/>
    <mergeCell ref="A3:D3"/>
    <mergeCell ref="A7:D7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24" customHeight="1">
      <c r="A1" s="1" t="inlineStr">
        <is>
          <t>非标设计　伺服 / 步进 / 丝杠 / 齿轮齿条选型</t>
        </is>
      </c>
      <c r="B1" s="3" t="n"/>
      <c r="C1" s="3" t="n"/>
      <c r="D1" s="4" t="n"/>
    </row>
    <row r="2" ht="36" customHeight="1">
      <c r="A2" s="2" t="inlineStr">
        <is>
          <t>黄格可改。改完先看「推荐」：结果旁边就是公式和代入数字。完整 22 步在「计算过程」。架子重量填实重，不要用别人估的 640 kg。</t>
        </is>
      </c>
      <c r="B2" s="3" t="n"/>
      <c r="C2" s="3" t="n"/>
      <c r="D2" s="4" t="n"/>
    </row>
    <row r="3">
      <c r="A3" s="5" t="inlineStr">
        <is>
          <t>项目</t>
        </is>
      </c>
      <c r="B3" s="5" t="inlineStr">
        <is>
          <t>数值</t>
        </is>
      </c>
      <c r="C3" s="5" t="inlineStr">
        <is>
          <t>说明</t>
        </is>
      </c>
    </row>
    <row r="4">
      <c r="A4" s="6" t="inlineStr">
        <is>
          <t>安装方向</t>
        </is>
      </c>
      <c r="B4" s="7" t="inlineStr">
        <is>
          <t>水平</t>
        </is>
      </c>
      <c r="C4" s="8" t="inlineStr">
        <is>
          <t>水平 / 垂直向上 / 垂直向下 / 倾斜上坡 / 倾斜下坡</t>
        </is>
      </c>
    </row>
    <row r="5">
      <c r="A5" s="6" t="inlineStr">
        <is>
          <t>倾角_度</t>
        </is>
      </c>
      <c r="B5" s="9" t="n">
        <v>0</v>
      </c>
      <c r="C5" s="8" t="inlineStr">
        <is>
          <t>仅倾斜时填写，水平垂直填 0</t>
        </is>
      </c>
    </row>
    <row r="6">
      <c r="A6" s="6" t="inlineStr">
        <is>
          <t>工件质量_kg</t>
        </is>
      </c>
      <c r="B6" s="9" t="n">
        <v>151</v>
      </c>
      <c r="C6" s="8" t="inlineStr">
        <is>
          <t>例如 3 根 Φ219 管约 151</t>
        </is>
      </c>
    </row>
    <row r="7">
      <c r="A7" s="6" t="inlineStr">
        <is>
          <t>机构质量_kg</t>
        </is>
      </c>
      <c r="B7" s="9" t="n">
        <v>200</v>
      </c>
      <c r="C7" s="8" t="inlineStr">
        <is>
          <t>架子+滑座，按你的设计填</t>
        </is>
      </c>
    </row>
    <row r="8">
      <c r="A8" s="6" t="inlineStr">
        <is>
          <t>额外阻力_N</t>
        </is>
      </c>
      <c r="B8" s="9" t="n">
        <v>0</v>
      </c>
      <c r="C8" s="8" t="inlineStr">
        <is>
          <t>刮屑、密封等，没有填 0</t>
        </is>
      </c>
    </row>
    <row r="9">
      <c r="A9" s="6" t="inlineStr">
        <is>
          <t>速度_m_min</t>
        </is>
      </c>
      <c r="B9" s="9" t="n">
        <v>8</v>
      </c>
      <c r="C9" s="8" t="inlineStr">
        <is>
          <t>任务书上限 15，上料常用 6～8</t>
        </is>
      </c>
    </row>
    <row r="10">
      <c r="A10" s="6" t="inlineStr">
        <is>
          <t>行程_mm</t>
        </is>
      </c>
      <c r="B10" s="9" t="n">
        <v>2500</v>
      </c>
      <c r="C10" s="8" t="inlineStr">
        <is>
          <t>影响丝杠会不会垂</t>
        </is>
      </c>
    </row>
    <row r="11">
      <c r="A11" s="6" t="inlineStr">
        <is>
          <t>加速时间_s</t>
        </is>
      </c>
      <c r="B11" s="9" t="n">
        <v>0.4</v>
      </c>
      <c r="C11" s="8" t="inlineStr">
        <is>
          <t>越小加速力越大</t>
        </is>
      </c>
    </row>
    <row r="12">
      <c r="A12" s="6" t="inlineStr">
        <is>
          <t>摩擦系数</t>
        </is>
      </c>
      <c r="B12" s="9" t="n">
        <v>0.1</v>
      </c>
      <c r="C12" s="8" t="inlineStr">
        <is>
          <t>铜套约 0.1，直线导轨约 0.02</t>
        </is>
      </c>
    </row>
    <row r="13">
      <c r="A13" s="6" t="inlineStr">
        <is>
          <t>目标安全系数</t>
        </is>
      </c>
      <c r="B13" s="9" t="n">
        <v>2</v>
      </c>
      <c r="C13" s="8" t="inlineStr">
        <is>
          <t>运行力矩相对需要力矩</t>
        </is>
      </c>
    </row>
    <row r="14">
      <c r="A14" s="6" t="inlineStr">
        <is>
          <t>传动计算</t>
        </is>
      </c>
      <c r="B14" s="7" t="inlineStr">
        <is>
          <t>两种都算</t>
        </is>
      </c>
      <c r="C14" s="8" t="inlineStr">
        <is>
          <t>自动 / 只要丝杠 / 只要齿条 / 两种都算</t>
        </is>
      </c>
    </row>
    <row r="15">
      <c r="A15" s="6" t="inlineStr">
        <is>
          <t>丝杠效率</t>
        </is>
      </c>
      <c r="B15" s="9" t="n">
        <v>0.9</v>
      </c>
      <c r="C15" s="8" t="inlineStr">
        <is>
          <t>滚珠丝杠常用 0.90</t>
        </is>
      </c>
    </row>
    <row r="16">
      <c r="A16" s="6" t="inlineStr">
        <is>
          <t>齿条型式</t>
        </is>
      </c>
      <c r="B16" s="7" t="inlineStr">
        <is>
          <t>斜齿</t>
        </is>
      </c>
      <c r="C16" s="8" t="inlineStr">
        <is>
          <t>斜齿或直齿</t>
        </is>
      </c>
    </row>
    <row r="17">
      <c r="A17" s="6" t="inlineStr">
        <is>
          <t>齿条效率</t>
        </is>
      </c>
      <c r="B17" s="9" t="n">
        <v>0.9399999999999999</v>
      </c>
      <c r="C17" s="8" t="inlineStr">
        <is>
          <t>斜齿 0.94，直齿改 0.90</t>
        </is>
      </c>
    </row>
    <row r="18">
      <c r="A18" s="6" t="inlineStr">
        <is>
          <t>齿条模数</t>
        </is>
      </c>
      <c r="B18" s="9" t="n">
        <v>2</v>
      </c>
      <c r="C18" s="8" t="inlineStr">
        <is>
          <t>给定清单：1.5 / 2 / 2.5 / 3</t>
        </is>
      </c>
    </row>
    <row r="19">
      <c r="A19" s="6" t="inlineStr">
        <is>
          <t>齿条齿数</t>
        </is>
      </c>
      <c r="B19" s="9" t="n">
        <v>25</v>
      </c>
      <c r="C19" s="8" t="inlineStr">
        <is>
          <t>给定清单：20 / 25 / 30</t>
        </is>
      </c>
    </row>
    <row r="20">
      <c r="A20" s="6" t="inlineStr">
        <is>
          <t>齿条减速比</t>
        </is>
      </c>
      <c r="B20" s="9" t="n">
        <v>10</v>
      </c>
      <c r="C20" s="8" t="inlineStr">
        <is>
          <t>1=直连（力矩大，目录常无满足项）。常用 8～15</t>
        </is>
      </c>
    </row>
    <row r="21">
      <c r="A21" s="6" t="inlineStr">
        <is>
          <t>减速机效率</t>
        </is>
      </c>
      <c r="B21" s="9" t="n">
        <v>0.9399999999999999</v>
      </c>
      <c r="C21" s="8" t="inlineStr">
        <is>
          <t>直连（减速比=1）时公式按 1 计；行星常用 0.94</t>
        </is>
      </c>
    </row>
    <row r="23">
      <c r="A23" s="10" t="inlineStr">
        <is>
          <t>手选（可改下拉；选「用推荐」则跟推荐走）</t>
        </is>
      </c>
      <c r="B23" s="3" t="n"/>
      <c r="C23" s="4" t="n"/>
    </row>
    <row r="24">
      <c r="A24" s="6" t="inlineStr">
        <is>
          <t>手选丝杠</t>
        </is>
      </c>
      <c r="B24" s="7" t="inlineStr">
        <is>
          <t>（用推荐）</t>
        </is>
      </c>
    </row>
    <row r="25">
      <c r="A25" s="6" t="inlineStr">
        <is>
          <t>手选伺服</t>
        </is>
      </c>
      <c r="B25" s="7" t="inlineStr">
        <is>
          <t>（用推荐）</t>
        </is>
      </c>
    </row>
    <row r="26">
      <c r="A26" s="6" t="inlineStr">
        <is>
          <t>手选步进</t>
        </is>
      </c>
      <c r="B26" s="7" t="inlineStr">
        <is>
          <t>（用推荐）</t>
        </is>
      </c>
    </row>
    <row r="27">
      <c r="A27" s="6" t="inlineStr">
        <is>
          <t>手选齿条模数</t>
        </is>
      </c>
      <c r="B27" s="7" t="inlineStr">
        <is>
          <t>（用推荐）</t>
        </is>
      </c>
    </row>
    <row r="28">
      <c r="A28" s="6" t="inlineStr">
        <is>
          <t>手选齿条齿数</t>
        </is>
      </c>
      <c r="B28" s="7" t="inlineStr">
        <is>
          <t>（用推荐）</t>
        </is>
      </c>
    </row>
    <row r="29">
      <c r="A29" s="6" t="inlineStr">
        <is>
          <t>手选齿条减速比</t>
        </is>
      </c>
      <c r="B29" s="7" t="inlineStr">
        <is>
          <t>（用推荐）</t>
        </is>
      </c>
    </row>
  </sheetData>
  <mergeCells count="3">
    <mergeCell ref="A1:D1"/>
    <mergeCell ref="A2:D2"/>
    <mergeCell ref="A23:C23"/>
  </mergeCells>
  <dataValidations count="12">
    <dataValidation sqref="B4" showDropDown="0" showInputMessage="0" showErrorMessage="0" allowBlank="0" type="list">
      <formula1>"水平,垂直向上,垂直向下,倾斜上坡,倾斜下坡"</formula1>
    </dataValidation>
    <dataValidation sqref="B14" showDropDown="0" showInputMessage="0" showErrorMessage="0" allowBlank="0" type="list">
      <formula1>"自动,只要丝杠,只要齿条,两种都算"</formula1>
    </dataValidation>
    <dataValidation sqref="B16" showDropDown="0" showInputMessage="0" showErrorMessage="0" allowBlank="0" type="list">
      <formula1>"斜齿,直齿"</formula1>
    </dataValidation>
    <dataValidation sqref="B18" showDropDown="0" showInputMessage="0" showErrorMessage="0" allowBlank="0" type="list">
      <formula1>"1.5,2,2.5,3"</formula1>
    </dataValidation>
    <dataValidation sqref="B19" showDropDown="0" showInputMessage="0" showErrorMessage="0" allowBlank="0" type="list">
      <formula1>"20,25,30"</formula1>
    </dataValidation>
    <dataValidation sqref="B20" showDropDown="0" showInputMessage="0" showErrorMessage="0" allowBlank="0" type="list">
      <formula1>"1,5,8,10,12,15,20"</formula1>
    </dataValidation>
    <dataValidation sqref="B24" showDropDown="0" showInputMessage="0" showErrorMessage="0" allowBlank="0" type="list">
      <formula1>=目录丝杠!$A$21:$A$33</formula1>
    </dataValidation>
    <dataValidation sqref="B25" showDropDown="0" showInputMessage="0" showErrorMessage="0" allowBlank="0" type="list">
      <formula1>=目录电机!$A$21:$A$27</formula1>
    </dataValidation>
    <dataValidation sqref="B26" showDropDown="0" showInputMessage="0" showErrorMessage="0" allowBlank="0" type="list">
      <formula1>=目录电机!$B$21:$B$26</formula1>
    </dataValidation>
    <dataValidation sqref="B27" showDropDown="0" showInputMessage="0" showErrorMessage="0" allowBlank="0" type="list">
      <formula1>"（用推荐）,1.5,2,2.5,3"</formula1>
    </dataValidation>
    <dataValidation sqref="B28" showDropDown="0" showInputMessage="0" showErrorMessage="0" allowBlank="0" type="list">
      <formula1>"（用推荐）,20,25,30"</formula1>
    </dataValidation>
    <dataValidation sqref="B29" showDropDown="0" showInputMessage="0" showErrorMessage="0" allowBlank="0" type="list">
      <formula1>"（用推荐）,1,5,8,10,12,15,20"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62" customWidth="1" min="4" max="4"/>
  </cols>
  <sheetData>
    <row r="1">
      <c r="A1" s="1" t="inlineStr">
        <is>
          <t>非标设计　推荐结果（只读；右边是公式和代入）</t>
        </is>
      </c>
      <c r="B1" s="3" t="n"/>
      <c r="C1" s="3" t="n"/>
      <c r="D1" s="4" t="n"/>
    </row>
    <row r="2" ht="28" customHeight="1">
      <c r="A2" s="2">
        <f>输入!B4&amp;"　总质量 "&amp;TEXT(计算!B2,"0.00")&amp;" kg　速度 "&amp;TEXT(输入!B9,"0.00")&amp;" m/min　工作推力 "&amp;TEXT(计算!B6,"0.0")&amp;" N。完整 22 步见「计算过程」。</f>
        <v/>
      </c>
      <c r="B2" s="3" t="n"/>
      <c r="C2" s="3" t="n"/>
      <c r="D2" s="4" t="n"/>
    </row>
    <row r="3">
      <c r="A3" s="11" t="inlineStr">
        <is>
          <t>项目</t>
        </is>
      </c>
      <c r="B3" s="11" t="inlineStr">
        <is>
          <t>结果</t>
        </is>
      </c>
      <c r="C3" s="11" t="inlineStr">
        <is>
          <t>公式</t>
        </is>
      </c>
      <c r="D3" s="11" t="inlineStr">
        <is>
          <t>代入（数字随输入变）</t>
        </is>
      </c>
    </row>
    <row r="4" ht="36" customHeight="1">
      <c r="A4" s="12" t="inlineStr">
        <is>
          <t>总质量 kg</t>
        </is>
      </c>
      <c r="B4" s="13">
        <f>计算!B2</f>
        <v/>
      </c>
      <c r="C4" s="14" t="inlineStr">
        <is>
          <t>m = 工件 + 机构</t>
        </is>
      </c>
      <c r="D4" s="15">
        <f>TEXT(输入!B6,"0.00")&amp;" + "&amp;TEXT(输入!B7,"0.00")&amp;" = "&amp;TEXT(计算!B2,"0.00")&amp;" kg"</f>
        <v/>
      </c>
    </row>
    <row r="5" ht="36" customHeight="1">
      <c r="A5" s="12" t="inlineStr">
        <is>
          <t>速度 m/s</t>
        </is>
      </c>
      <c r="B5" s="13">
        <f>计算!B3</f>
        <v/>
      </c>
      <c r="C5" s="14" t="inlineStr">
        <is>
          <t>v = 速度(m/min) ÷ 60</t>
        </is>
      </c>
      <c r="D5" s="15">
        <f>TEXT(输入!B9,"0.00")&amp;" / 60 = "&amp;TEXT(计算!B3,"0.000")&amp;" m/s"</f>
        <v/>
      </c>
    </row>
    <row r="6" ht="36" customHeight="1">
      <c r="A6" s="12" t="inlineStr">
        <is>
          <t>加速度 m/s²</t>
        </is>
      </c>
      <c r="B6" s="13">
        <f>计算!B4</f>
        <v/>
      </c>
      <c r="C6" s="14" t="inlineStr">
        <is>
          <t>a = v ÷ 加速时间</t>
        </is>
      </c>
      <c r="D6" s="15">
        <f>TEXT(计算!B3,"0.000")&amp;" / "&amp;TEXT(输入!B11,"0.00")&amp;" = "&amp;TEXT(计算!B4,"0.000")&amp;" m/s²"</f>
        <v/>
      </c>
    </row>
    <row r="7" ht="36" customHeight="1">
      <c r="A7" s="12" t="inlineStr">
        <is>
          <t>等效倾角 °</t>
        </is>
      </c>
      <c r="B7" s="13">
        <f>计算!B5</f>
        <v/>
      </c>
      <c r="C7" s="14" t="inlineStr">
        <is>
          <t>水平0；垂直上+90；垂直下−90；倾斜取填角（下坡为负）</t>
        </is>
      </c>
      <c r="D7" s="15">
        <f>输入!B4&amp;" → "&amp;TEXT(计算!B5,"0.0")&amp;" °　sin="&amp;TEXT(计算!B41,"0.000")&amp;"　cos="&amp;TEXT(计算!B42,"0.000")</f>
        <v/>
      </c>
    </row>
    <row r="8" ht="36" customHeight="1">
      <c r="A8" s="12" t="inlineStr">
        <is>
          <t>沿程重力 N</t>
        </is>
      </c>
      <c r="B8" s="13">
        <f>计算!B7</f>
        <v/>
      </c>
      <c r="C8" s="14" t="inlineStr">
        <is>
          <t>Fg = m g sinθ</t>
        </is>
      </c>
      <c r="D8" s="15">
        <f>TEXT(计算!B2,"0.00")&amp;" × 9.81 × SIN("&amp;TEXT(计算!B5,"0.0")&amp;"°) = "&amp;TEXT(计算!B7,"0.0")&amp;" N"</f>
        <v/>
      </c>
    </row>
    <row r="9" ht="36" customHeight="1">
      <c r="A9" s="12" t="inlineStr">
        <is>
          <t>摩擦力 N</t>
        </is>
      </c>
      <c r="B9" s="13">
        <f>计算!B8</f>
        <v/>
      </c>
      <c r="C9" s="14" t="inlineStr">
        <is>
          <t>Ff = μ m g |cosθ|</t>
        </is>
      </c>
      <c r="D9" s="15">
        <f>TEXT(输入!B12,"0.00")&amp;" × "&amp;TEXT(计算!B2,"0.00")&amp;" × 9.81 × |"&amp;TEXT(计算!B42,"0.000")&amp;"| = "&amp;TEXT(计算!B8,"0.0")&amp;" N"</f>
        <v/>
      </c>
    </row>
    <row r="10" ht="36" customHeight="1">
      <c r="A10" s="12" t="inlineStr">
        <is>
          <t>加速力 N</t>
        </is>
      </c>
      <c r="B10" s="13">
        <f>计算!B9</f>
        <v/>
      </c>
      <c r="C10" s="14" t="inlineStr">
        <is>
          <t>Fa = m a</t>
        </is>
      </c>
      <c r="D10" s="15">
        <f>TEXT(计算!B2,"0.00")&amp;" × "&amp;TEXT(计算!B4,"0.000")&amp;" = "&amp;TEXT(计算!B9,"0.0")&amp;" N"</f>
        <v/>
      </c>
    </row>
    <row r="11" ht="36" customHeight="1">
      <c r="A11" s="12" t="inlineStr">
        <is>
          <t>工作推力 N</t>
        </is>
      </c>
      <c r="B11" s="13">
        <f>计算!B6</f>
        <v/>
      </c>
      <c r="C11" s="14" t="inlineStr">
        <is>
          <t>F = |Fg + Ff + Fa + F外|</t>
        </is>
      </c>
      <c r="D11" s="15">
        <f>"("&amp;TEXT(计算!B7,"0.0")&amp;") + ("&amp;TEXT(计算!B8,"0.0")&amp;") + ("&amp;TEXT(计算!B9,"0.0")&amp;") + ("&amp;TEXT(输入!B8,"0.0")&amp;") = "&amp;TEXT(计算!B45,"0.0")&amp;" → |F|="&amp;TEXT(计算!B6,"0.0")&amp;" N"</f>
        <v/>
      </c>
    </row>
    <row r="12" ht="36" customHeight="1">
      <c r="A12" s="12" t="inlineStr">
        <is>
          <t>是否倒拖</t>
        </is>
      </c>
      <c r="B12" s="13">
        <f>计算!B10</f>
        <v/>
      </c>
      <c r="C12" s="14" t="inlineStr">
        <is>
          <t>重力沿走向与运动相反时为倒拖</t>
        </is>
      </c>
      <c r="D12" s="15">
        <f>计算!B10&amp;IF(计算!B10="是","　必须抱闸","　水平一般不倒拖，仍建议刹车")</f>
        <v/>
      </c>
    </row>
    <row r="13">
      <c r="A13" s="5" t="inlineStr">
        <is>
          <t>↓ 丝杠方案</t>
        </is>
      </c>
      <c r="B13" s="3" t="n"/>
      <c r="C13" s="3" t="n"/>
      <c r="D13" s="4" t="n"/>
    </row>
    <row r="14" ht="36" customHeight="1">
      <c r="A14" s="12" t="inlineStr">
        <is>
          <t>推荐丝杠</t>
        </is>
      </c>
      <c r="B14" s="13">
        <f>计算!B12</f>
        <v/>
      </c>
      <c r="C14" s="14" t="inlineStr">
        <is>
          <t>目录第一档现货且转速、临界、轴径都过的</t>
        </is>
      </c>
      <c r="D14" s="15">
        <f>计算!B12&amp;"　直径 "&amp;TEXT(INDEX(目录丝杠!B2:B13,计算!B11),"0")&amp;"　导程 "&amp;TEXT(计算!B40,"0")&amp;" mm"</f>
        <v/>
      </c>
    </row>
    <row r="15" ht="36" customHeight="1">
      <c r="A15" s="12" t="inlineStr">
        <is>
          <t>丝杠转速 r/min</t>
        </is>
      </c>
      <c r="B15" s="13">
        <f>计算!B13</f>
        <v/>
      </c>
      <c r="C15" s="14" t="inlineStr">
        <is>
          <t>n = v(m/min)×1000 / 导程(mm)</t>
        </is>
      </c>
      <c r="D15" s="15">
        <f>TEXT(输入!B9,"0.00")&amp;" × 1000 / "&amp;TEXT(计算!B40,"0")&amp;" = "&amp;TEXT(计算!B13,"0.0")&amp;" r/min"</f>
        <v/>
      </c>
    </row>
    <row r="16" ht="36" customHeight="1">
      <c r="A16" s="12" t="inlineStr">
        <is>
          <t>丝杠转矩 N·m</t>
        </is>
      </c>
      <c r="B16" s="13">
        <f>计算!B14</f>
        <v/>
      </c>
      <c r="C16" s="14" t="inlineStr">
        <is>
          <t>T = F × P / (2π η)，P 为导程(m) 即 导程mm/1000</t>
        </is>
      </c>
      <c r="D16" s="15">
        <f>"F="&amp;TEXT(计算!B6,"0.0")&amp;"，P="&amp;TEXT(计算!B40,"0")&amp;" mm，η="&amp;TEXT(输入!B15,"0.00")&amp;"，2πη="&amp;TEXT(计算!B43,"0.000")&amp;" → T="&amp;TEXT(计算!B14,"0.000")&amp;" N·m"</f>
        <v/>
      </c>
    </row>
    <row r="17" ht="36" customHeight="1">
      <c r="A17" s="12" t="inlineStr">
        <is>
          <t>丝杠机械功率 kW</t>
        </is>
      </c>
      <c r="B17" s="13">
        <f>计算!B36</f>
        <v/>
      </c>
      <c r="C17" s="14" t="inlineStr">
        <is>
          <t>P = T n / 9550</t>
        </is>
      </c>
      <c r="D17" s="15">
        <f>TEXT(计算!B14,"0.000")&amp;" × "&amp;TEXT(计算!B13,"0.0")&amp;" / 9550 = "&amp;TEXT(计算!B36,"0.000")&amp;" kW"</f>
        <v/>
      </c>
    </row>
    <row r="18" ht="36" customHeight="1">
      <c r="A18" s="12" t="inlineStr">
        <is>
          <t>轴承座</t>
        </is>
      </c>
      <c r="B18" s="13">
        <f>计算!B16&amp;" + "&amp;计算!B17</f>
        <v/>
      </c>
      <c r="C18" s="14" t="inlineStr">
        <is>
          <t>按丝杠直径配 BK 固定 + BF 游动</t>
        </is>
      </c>
      <c r="D18" s="15">
        <f>计算!B16&amp;" + "&amp;计算!B17&amp;"；BK内 "&amp;计算!B18&amp;"；BF内 "&amp;计算!B19</f>
        <v/>
      </c>
    </row>
    <row r="19" ht="36" customHeight="1">
      <c r="A19" s="12" t="inlineStr">
        <is>
          <t>推荐伺服（丝杠）</t>
        </is>
      </c>
      <c r="B19" s="13">
        <f>计算!B30</f>
        <v/>
      </c>
      <c r="C19" s="14" t="inlineStr">
        <is>
          <t>目录中运行 SF≥目标 且 启动 SF≥1.5 的最小一档</t>
        </is>
      </c>
      <c r="D19" s="15">
        <f>计算!B30&amp;"　目标SF="&amp;TEXT(输入!B13,"0.00")</f>
        <v/>
      </c>
    </row>
    <row r="20" ht="36" customHeight="1">
      <c r="A20" s="12" t="inlineStr">
        <is>
          <t>推荐步进（丝杠）</t>
        </is>
      </c>
      <c r="B20" s="13">
        <f>计算!B31</f>
        <v/>
      </c>
      <c r="C20" s="14" t="inlineStr">
        <is>
          <t>按该转速掉矩后仍满足安全系数</t>
        </is>
      </c>
      <c r="D20" s="15">
        <f>计算!B31</f>
        <v/>
      </c>
    </row>
    <row r="21">
      <c r="A21" s="5" t="inlineStr">
        <is>
          <t>↓ 齿条方案</t>
        </is>
      </c>
      <c r="B21" s="3" t="n"/>
      <c r="C21" s="3" t="n"/>
      <c r="D21" s="4" t="n"/>
    </row>
    <row r="22" ht="36" customHeight="1">
      <c r="A22" s="12" t="inlineStr">
        <is>
          <t>推荐齿条</t>
        </is>
      </c>
      <c r="B22" s="13">
        <f>TEXT(输入!B18,"0.0")&amp;"模 × "&amp;TEXT(输入!B19,"0")&amp;"齿 "&amp;输入!B16&amp;"　i="&amp;TEXT(输入!B20,"0")</f>
        <v/>
      </c>
      <c r="C22" s="14" t="inlineStr">
        <is>
          <t>模数、齿数、减速比来自输入页</t>
        </is>
      </c>
      <c r="D22" s="15">
        <f>"节圆半径 r="&amp;TEXT(计算!B44,"0.0")&amp;" mm（= m z / 2）"</f>
        <v/>
      </c>
    </row>
    <row r="23" ht="36" customHeight="1">
      <c r="A23" s="12" t="inlineStr">
        <is>
          <t>齿轮轴转速 r/min</t>
        </is>
      </c>
      <c r="B23" s="13">
        <f>计算!B39</f>
        <v/>
      </c>
      <c r="C23" s="14" t="inlineStr">
        <is>
          <t>n0 = v×1000 / (π m z)</t>
        </is>
      </c>
      <c r="D23" s="15">
        <f>TEXT(输入!B9,"0.00")&amp;"×1000 / (π×"&amp;TEXT(输入!B18,"0.0")&amp;"×"&amp;TEXT(输入!B19,"0")&amp;") = "&amp;TEXT(计算!B39,"0.00")&amp;" r/min"</f>
        <v/>
      </c>
    </row>
    <row r="24" ht="36" customHeight="1">
      <c r="A24" s="12" t="inlineStr">
        <is>
          <t>齿条电机转速 r/min</t>
        </is>
      </c>
      <c r="B24" s="13">
        <f>计算!B20</f>
        <v/>
      </c>
      <c r="C24" s="14" t="inlineStr">
        <is>
          <t>n电机 = n0 × i</t>
        </is>
      </c>
      <c r="D24" s="15">
        <f>TEXT(计算!B39,"0.00")&amp;" × "&amp;TEXT(输入!B20,"0")&amp;" = "&amp;TEXT(计算!B20,"0.00")&amp;" r/min"</f>
        <v/>
      </c>
    </row>
    <row r="25" ht="36" customHeight="1">
      <c r="A25" s="12" t="inlineStr">
        <is>
          <t>齿条电机转矩 N·m</t>
        </is>
      </c>
      <c r="B25" s="13">
        <f>计算!B21</f>
        <v/>
      </c>
      <c r="C25" s="14" t="inlineStr">
        <is>
          <t>T电机 = F×(m z /2000) / η齿 / i / η减</t>
        </is>
      </c>
      <c r="D25" s="15">
        <f>"F="&amp;TEXT(计算!B6,"0.0")&amp;"，mz/2000="&amp;TEXT(输入!B18*输入!B19/2000,"0.000")&amp;"，η齿="&amp;TEXT(输入!B17,"0.00")&amp;"，i="&amp;TEXT(输入!B20,"0")&amp;"，η减="&amp;TEXT(IF(输入!B20&lt;=1,1,输入!B21),"0.00")&amp;" → T="&amp;TEXT(计算!B21,"0.000")&amp;" N·m"</f>
        <v/>
      </c>
    </row>
    <row r="26" ht="36" customHeight="1">
      <c r="A26" s="12" t="inlineStr">
        <is>
          <t>齿条机械功率 kW</t>
        </is>
      </c>
      <c r="B26" s="13">
        <f>计算!B37</f>
        <v/>
      </c>
      <c r="C26" s="14" t="inlineStr">
        <is>
          <t>P = T电机 n电机 / 9550</t>
        </is>
      </c>
      <c r="D26" s="15">
        <f>TEXT(计算!B21,"0.000")&amp;" × "&amp;TEXT(计算!B20,"0.0")&amp;" / 9550 = "&amp;TEXT(计算!B37,"0.000")&amp;" kW"</f>
        <v/>
      </c>
    </row>
    <row r="27" ht="36" customHeight="1">
      <c r="A27" s="12" t="inlineStr">
        <is>
          <t>推荐伺服（齿条）</t>
        </is>
      </c>
      <c r="B27" s="13">
        <f>计算!B32</f>
        <v/>
      </c>
      <c r="C27" s="14" t="inlineStr">
        <is>
          <t>按减速后的 n、T 再选</t>
        </is>
      </c>
      <c r="D27" s="15">
        <f>计算!B32</f>
        <v/>
      </c>
    </row>
    <row r="28" ht="36" customHeight="1">
      <c r="A28" s="12" t="inlineStr">
        <is>
          <t>推荐步进（齿条）</t>
        </is>
      </c>
      <c r="B28" s="13">
        <f>计算!B33</f>
        <v/>
      </c>
      <c r="C28" s="14" t="inlineStr">
        <is>
          <t>按减速后的 n、T 再选</t>
        </is>
      </c>
      <c r="D28" s="15">
        <f>计算!B33</f>
        <v/>
      </c>
    </row>
    <row r="30" ht="28" customHeight="1">
      <c r="A30" s="16" t="inlineStr">
        <is>
          <t>传动选「只要丝杠」时，齿条几行仍会算，只是不当采购依据。手选型号到「对照」看安全系数。改输入后本页数字一起变。</t>
        </is>
      </c>
      <c r="B30" s="3" t="n"/>
      <c r="C30" s="3" t="n"/>
      <c r="D30" s="4" t="n"/>
    </row>
  </sheetData>
  <mergeCells count="5">
    <mergeCell ref="A1:D1"/>
    <mergeCell ref="A21:D21"/>
    <mergeCell ref="A30:D30"/>
    <mergeCell ref="A2:D2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36" customWidth="1" min="4" max="4"/>
  </cols>
  <sheetData>
    <row r="1">
      <c r="A1" s="1" t="inlineStr">
        <is>
          <t>非标设计　计算过程（随输入自动变，只读）</t>
        </is>
      </c>
      <c r="B1" s="3" t="n"/>
      <c r="C1" s="3" t="n"/>
      <c r="D1" s="4" t="n"/>
    </row>
    <row r="2">
      <c r="A2" s="17" t="inlineStr">
        <is>
          <t>先看本页步骤，再看「推荐」「对照」。公式与「计算」页同一套。</t>
        </is>
      </c>
      <c r="B2" s="3" t="n"/>
      <c r="C2" s="3" t="n"/>
      <c r="D2" s="4" t="n"/>
    </row>
    <row r="4">
      <c r="A4" s="5" t="inlineStr">
        <is>
          <t>步骤</t>
        </is>
      </c>
      <c r="B4" s="5" t="inlineStr">
        <is>
          <t>公式</t>
        </is>
      </c>
      <c r="C4" s="5" t="inlineStr">
        <is>
          <t>代入与结果</t>
        </is>
      </c>
      <c r="D4" s="5" t="inlineStr">
        <is>
          <t>说明</t>
        </is>
      </c>
    </row>
    <row r="5" ht="32" customHeight="1">
      <c r="A5" s="18" t="inlineStr">
        <is>
          <t>1 总质量</t>
        </is>
      </c>
      <c r="B5" s="12" t="inlineStr">
        <is>
          <t>m = 工件 + 机构</t>
        </is>
      </c>
      <c r="C5" s="15">
        <f>TEXT(输入!B6,"0.00")&amp;" + "&amp;TEXT(输入!B7,"0.00")&amp;" = "&amp;TEXT(计算!B2,"0.00")&amp;" kg"</f>
        <v/>
      </c>
      <c r="D5" s="19" t="inlineStr">
        <is>
          <t>架子请填实重，不要用估计的 640 kg</t>
        </is>
      </c>
    </row>
    <row r="6" ht="32" customHeight="1">
      <c r="A6" s="18" t="inlineStr">
        <is>
          <t>2 速度</t>
        </is>
      </c>
      <c r="B6" s="12" t="inlineStr">
        <is>
          <t>v = 速度(m/min) ÷ 60</t>
        </is>
      </c>
      <c r="C6" s="15">
        <f>TEXT(输入!B9,"0.00")&amp;" / 60 = "&amp;TEXT(计算!B3,"0.000")&amp;" m/s"</f>
        <v/>
      </c>
      <c r="D6" s="19" t="inlineStr">
        <is>
          <t>后面加速度、功率都用 m/s</t>
        </is>
      </c>
    </row>
    <row r="7" ht="32" customHeight="1">
      <c r="A7" s="18" t="inlineStr">
        <is>
          <t>3 加速度</t>
        </is>
      </c>
      <c r="B7" s="12" t="inlineStr">
        <is>
          <t>a = v ÷ 加速时间</t>
        </is>
      </c>
      <c r="C7" s="15">
        <f>TEXT(计算!B3,"0.000")&amp;" / "&amp;TEXT(输入!B11,"0.00")&amp;" = "&amp;TEXT(计算!B4,"0.000")&amp;" m/s²"</f>
        <v/>
      </c>
      <c r="D7" s="19" t="inlineStr">
        <is>
          <t>时间越短，加速力越大</t>
        </is>
      </c>
    </row>
    <row r="8" ht="32" customHeight="1">
      <c r="A8" s="18" t="inlineStr">
        <is>
          <t>4 等效倾角</t>
        </is>
      </c>
      <c r="B8" s="12" t="inlineStr">
        <is>
          <t>水平0°；垂直上+90°；垂直下−90°；倾斜取填角（下坡为负）</t>
        </is>
      </c>
      <c r="C8" s="15">
        <f>输入!B4&amp;" → "&amp;TEXT(计算!B5,"0.0")&amp;" °"</f>
        <v/>
      </c>
      <c r="D8" s="19" t="inlineStr">
        <is>
          <t>倾斜必须在输入页填倾角</t>
        </is>
      </c>
    </row>
    <row r="9" ht="32" customHeight="1">
      <c r="A9" s="18" t="inlineStr">
        <is>
          <t>5 沿程重力</t>
        </is>
      </c>
      <c r="B9" s="12" t="inlineStr">
        <is>
          <t>Fg = m g sinθ</t>
        </is>
      </c>
      <c r="C9" s="15">
        <f>TEXT(计算!B2,"0.00")&amp;" × 9.81 × SIN("&amp;TEXT(计算!B5,"0.0")&amp;"°) = "&amp;TEXT(计算!B2,"0.00")&amp;" × 9.81 × "&amp;TEXT(计算!B41,"0.000")&amp;" = "&amp;TEXT(计算!B7,"0.0")&amp;" N"</f>
        <v/>
      </c>
      <c r="D9" s="19" t="inlineStr">
        <is>
          <t>水平上坡为正、下坡为负</t>
        </is>
      </c>
    </row>
    <row r="10" ht="32" customHeight="1">
      <c r="A10" s="18" t="inlineStr">
        <is>
          <t>6 摩擦力</t>
        </is>
      </c>
      <c r="B10" s="12" t="inlineStr">
        <is>
          <t>Ff = μ m g |cosθ|</t>
        </is>
      </c>
      <c r="C10" s="15">
        <f>TEXT(输入!B12,"0.00")&amp;" × "&amp;TEXT(计算!B2,"0.00")&amp;" × 9.81 × |"&amp;TEXT(计算!B42,"0.000")&amp;"| = "&amp;TEXT(计算!B8,"0.0")&amp;" N"</f>
        <v/>
      </c>
      <c r="D10" s="19" t="inlineStr">
        <is>
          <t>铜套 μ≈0.1，导轨 μ≈0.02</t>
        </is>
      </c>
    </row>
    <row r="11" ht="32" customHeight="1">
      <c r="A11" s="18" t="inlineStr">
        <is>
          <t>7 加速力</t>
        </is>
      </c>
      <c r="B11" s="12" t="inlineStr">
        <is>
          <t>Fa = m a</t>
        </is>
      </c>
      <c r="C11" s="15">
        <f>TEXT(计算!B2,"0.00")&amp;" × "&amp;TEXT(计算!B4,"0.000")&amp;" = "&amp;TEXT(计算!B9,"0.0")&amp;" N"</f>
        <v/>
      </c>
      <c r="D11" s="19" t="inlineStr"/>
    </row>
    <row r="12" ht="32" customHeight="1">
      <c r="A12" s="18" t="inlineStr">
        <is>
          <t>8 工作推力</t>
        </is>
      </c>
      <c r="B12" s="12" t="inlineStr">
        <is>
          <t>F = |Fg + Ff + Fa + F外|</t>
        </is>
      </c>
      <c r="C12" s="15">
        <f>"("&amp;TEXT(计算!B7,"0.0")&amp;") + ("&amp;TEXT(计算!B8,"0.0")&amp;") + ("&amp;TEXT(计算!B9,"0.0")&amp;") + ("&amp;TEXT(输入!B8,"0.0")&amp;") = "&amp;TEXT(计算!B45,"0.0")&amp;" → |F|="&amp;TEXT(计算!B6,"0.0")&amp;" N"</f>
        <v/>
      </c>
      <c r="D12" s="19" t="inlineStr">
        <is>
          <t>电机按这个 F 来算转矩</t>
        </is>
      </c>
    </row>
    <row r="13" ht="32" customHeight="1">
      <c r="A13" s="18" t="inlineStr">
        <is>
          <t>9 是否倒拖</t>
        </is>
      </c>
      <c r="B13" s="12" t="inlineStr">
        <is>
          <t>重力沿走向与运动相反时为倒拖</t>
        </is>
      </c>
      <c r="C13" s="15">
        <f>计算!B10</f>
        <v/>
      </c>
      <c r="D13" s="19" t="inlineStr">
        <is>
          <t>倒拖必须抱闸</t>
        </is>
      </c>
    </row>
    <row r="14" ht="32" customHeight="1">
      <c r="A14" s="18" t="inlineStr">
        <is>
          <t>10 丝杠型号</t>
        </is>
      </c>
      <c r="B14" s="12" t="inlineStr">
        <is>
          <t>目录中第一档「可用」现货</t>
        </is>
      </c>
      <c r="C14" s="15">
        <f>计算!B12</f>
        <v/>
      </c>
      <c r="D14" s="19" t="inlineStr">
        <is>
          <t>优先 2510 / 4010</t>
        </is>
      </c>
    </row>
    <row r="15" ht="32" customHeight="1">
      <c r="A15" s="18" t="inlineStr">
        <is>
          <t>11 丝杠转速</t>
        </is>
      </c>
      <c r="B15" s="12" t="inlineStr">
        <is>
          <t>n = v(m/min)×1000 / 导程(mm)</t>
        </is>
      </c>
      <c r="C15" s="15">
        <f>TEXT(输入!B9,"0.00")&amp;" × 1000 / "&amp;TEXT(计算!B40,"0")&amp;" = "&amp;TEXT(计算!B13,"0.0")&amp;" r/min"</f>
        <v/>
      </c>
      <c r="D15" s="19" t="inlineStr">
        <is>
          <t>导程 10 时，8 m/min → 800 r/min</t>
        </is>
      </c>
    </row>
    <row r="16" ht="32" customHeight="1">
      <c r="A16" s="18" t="inlineStr">
        <is>
          <t>12 丝杠转矩</t>
        </is>
      </c>
      <c r="B16" s="12" t="inlineStr">
        <is>
          <t>T = F × P / (2π η)，P 为导程(m)=导程mm/1000</t>
        </is>
      </c>
      <c r="C16" s="15">
        <f>"F="&amp;TEXT(计算!B6,"0.0")&amp;"，P="&amp;TEXT(计算!B40,"0")&amp;" mm，η="&amp;TEXT(输入!B15,"0.00")&amp;"，2πη="&amp;TEXT(计算!B43,"0.000")&amp;" → T="&amp;TEXT(计算!B6,"0.0")&amp;"×"&amp;TEXT(计算!B40,"0")&amp;"/1000/"&amp;TEXT(计算!B43,"0.000")&amp;" = "&amp;TEXT(计算!B14,"0.000")&amp;" N·m"</f>
        <v/>
      </c>
      <c r="D16" s="19" t="inlineStr">
        <is>
          <t>效率默认 0.90</t>
        </is>
      </c>
    </row>
    <row r="17" ht="32" customHeight="1">
      <c r="A17" s="18" t="inlineStr">
        <is>
          <t>13 丝杠功率</t>
        </is>
      </c>
      <c r="B17" s="12" t="inlineStr">
        <is>
          <t>P = T n / 9550</t>
        </is>
      </c>
      <c r="C17" s="15">
        <f>TEXT(计算!B14,"0.000")&amp;" × "&amp;TEXT(计算!B13,"0.0")&amp;" / 9550 = "&amp;TEXT(计算!B36,"0.000")&amp;" kW"</f>
        <v/>
      </c>
      <c r="D17" s="19" t="inlineStr">
        <is>
          <t>这是机械功率，电机按目录再留安全系数</t>
        </is>
      </c>
    </row>
    <row r="18" ht="32" customHeight="1">
      <c r="A18" s="18" t="inlineStr">
        <is>
          <t>14 轴承座</t>
        </is>
      </c>
      <c r="B18" s="12" t="inlineStr">
        <is>
          <t>按丝杠直径配 BK 固定 + BF 游动</t>
        </is>
      </c>
      <c r="C18" s="15">
        <f>计算!B16&amp;" + "&amp;计算!B17&amp;"；BK内 "&amp;计算!B18&amp;"；BF内 "&amp;计算!B19</f>
        <v/>
      </c>
      <c r="D18" s="19" t="inlineStr">
        <is>
          <t>BK 是一对角接触，BF 是一只深沟球</t>
        </is>
      </c>
    </row>
    <row r="19" ht="32" customHeight="1">
      <c r="A19" s="18" t="inlineStr">
        <is>
          <t>15 齿轮轴转速</t>
        </is>
      </c>
      <c r="B19" s="12" t="inlineStr">
        <is>
          <t>n0 = v×1000 / (π m z)</t>
        </is>
      </c>
      <c r="C19" s="15">
        <f>TEXT(输入!B9,"0.00")&amp;"×1000 / (π×"&amp;TEXT(输入!B18,"0.0")&amp;"×"&amp;TEXT(输入!B19,"0")&amp;") = "&amp;TEXT(计算!B39,"0.00")&amp;" r/min"</f>
        <v/>
      </c>
      <c r="D19" s="19" t="inlineStr">
        <is>
          <t>减速前，齿轮转得慢</t>
        </is>
      </c>
    </row>
    <row r="20" ht="32" customHeight="1">
      <c r="A20" s="18" t="inlineStr">
        <is>
          <t>16 齿条电机转速</t>
        </is>
      </c>
      <c r="B20" s="12" t="inlineStr">
        <is>
          <t>n电机 = n0 × i</t>
        </is>
      </c>
      <c r="C20" s="15">
        <f>TEXT(计算!B39,"0.00")&amp;" × "&amp;TEXT(输入!B20,"0")&amp;" = "&amp;TEXT(计算!B20,"0.00")&amp;" r/min"</f>
        <v/>
      </c>
      <c r="D20" s="19" t="inlineStr">
        <is>
          <t>i=1 为直连；默认 i=10</t>
        </is>
      </c>
    </row>
    <row r="21" ht="32" customHeight="1">
      <c r="A21" s="18" t="inlineStr">
        <is>
          <t>17 齿条电机转矩</t>
        </is>
      </c>
      <c r="B21" s="12" t="inlineStr">
        <is>
          <t>T电机 = F×(m z /2000) / η齿 / i / η减</t>
        </is>
      </c>
      <c r="C21" s="15">
        <f>"F="&amp;TEXT(计算!B6,"0.0")&amp;" × "&amp;TEXT(输入!B18*输入!B19/2000,"0.000")&amp;" / "&amp;TEXT(输入!B17,"0.00")&amp;" / "&amp;TEXT(输入!B20,"0")&amp;" / "&amp;TEXT(IF(输入!B20&lt;=1,1,输入!B21),"0.00")&amp;" = "&amp;TEXT(计算!B21,"0.000")&amp;" N·m"</f>
        <v/>
      </c>
      <c r="D21" s="19" t="inlineStr">
        <is>
          <t>直连 i=1 时 T 很大，目录会无满足项</t>
        </is>
      </c>
    </row>
    <row r="22" ht="32" customHeight="1">
      <c r="A22" s="18" t="inlineStr">
        <is>
          <t>18 齿条功率</t>
        </is>
      </c>
      <c r="B22" s="12" t="inlineStr">
        <is>
          <t>P = T电机 n电机 / 9550</t>
        </is>
      </c>
      <c r="C22" s="15">
        <f>TEXT(计算!B21,"0.000")&amp;" × "&amp;TEXT(计算!B20,"0.0")&amp;" / 9550 = "&amp;TEXT(计算!B37,"0.000")&amp;" kW"</f>
        <v/>
      </c>
      <c r="D22" s="19" t="inlineStr">
        <is>
          <t>与丝杠功率应接近（差在效率）</t>
        </is>
      </c>
    </row>
    <row r="23" ht="32" customHeight="1">
      <c r="A23" s="18" t="inlineStr">
        <is>
          <t>19 丝杠用伺服</t>
        </is>
      </c>
      <c r="B23" s="12" t="inlineStr">
        <is>
          <t>目录中运行 SF≥目标 且 启动 SF≥1.5 的最小一档</t>
        </is>
      </c>
      <c r="C23" s="15">
        <f>计算!B30</f>
        <v/>
      </c>
      <c r="D23" s="19" t="inlineStr">
        <is>
          <t>目标安全系数见输入页</t>
        </is>
      </c>
    </row>
    <row r="24" ht="32" customHeight="1">
      <c r="A24" s="18" t="inlineStr">
        <is>
          <t>20 丝杠用步进</t>
        </is>
      </c>
      <c r="B24" s="12" t="inlineStr">
        <is>
          <t>按该转速掉矩后仍满足安全系数</t>
        </is>
      </c>
      <c r="C24" s="15">
        <f>计算!B31</f>
        <v/>
      </c>
      <c r="D24" s="19" t="inlineStr">
        <is>
          <t>转速高时 86 可能不够，改 110</t>
        </is>
      </c>
    </row>
    <row r="25" ht="32" customHeight="1">
      <c r="A25" s="18" t="inlineStr">
        <is>
          <t>21 齿条用伺服</t>
        </is>
      </c>
      <c r="B25" s="12" t="inlineStr">
        <is>
          <t>按减速后的 n、T 再选</t>
        </is>
      </c>
      <c r="C25" s="15">
        <f>计算!B32</f>
        <v/>
      </c>
      <c r="D25" s="19" t="inlineStr">
        <is>
          <t>仍无满足项就加大 i</t>
        </is>
      </c>
    </row>
    <row r="26" ht="32" customHeight="1">
      <c r="A26" s="18" t="inlineStr">
        <is>
          <t>22 齿条用步进</t>
        </is>
      </c>
      <c r="B26" s="12" t="inlineStr">
        <is>
          <t>同上</t>
        </is>
      </c>
      <c r="C26" s="15">
        <f>计算!B33</f>
        <v/>
      </c>
      <c r="D26" s="19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非标设计　丝杠方案 vs 齿轮齿条方案（同一载荷、同一速度）</t>
        </is>
      </c>
      <c r="B1" s="3" t="n"/>
      <c r="C1" s="4" t="n"/>
    </row>
    <row r="3">
      <c r="A3" s="5" t="inlineStr">
        <is>
          <t>项目</t>
        </is>
      </c>
      <c r="B3" s="5" t="inlineStr">
        <is>
          <t>滚珠丝杠</t>
        </is>
      </c>
      <c r="C3" s="5" t="inlineStr">
        <is>
          <t>齿轮齿条</t>
        </is>
      </c>
    </row>
    <row r="4">
      <c r="A4" s="20" t="inlineStr">
        <is>
          <t>效率</t>
        </is>
      </c>
      <c r="B4" s="17">
        <f>输入!B15</f>
        <v/>
      </c>
      <c r="C4" s="17">
        <f>输入!B17*IF(输入!B20&lt;=1,1,输入!B21)</f>
        <v/>
      </c>
    </row>
    <row r="5">
      <c r="A5" s="20" t="inlineStr">
        <is>
          <t>减速比</t>
        </is>
      </c>
      <c r="B5" s="17" t="inlineStr">
        <is>
          <t>1（丝杠直连）</t>
        </is>
      </c>
      <c r="C5" s="17">
        <f>输入!B20</f>
        <v/>
      </c>
    </row>
    <row r="6">
      <c r="A6" s="20" t="inlineStr">
        <is>
          <t>电机转速 r/min</t>
        </is>
      </c>
      <c r="B6" s="17">
        <f>计算!B13</f>
        <v/>
      </c>
      <c r="C6" s="17">
        <f>计算!B20</f>
        <v/>
      </c>
    </row>
    <row r="7">
      <c r="A7" s="20" t="inlineStr">
        <is>
          <t>需要转矩 N·m</t>
        </is>
      </c>
      <c r="B7" s="17">
        <f>计算!B14</f>
        <v/>
      </c>
      <c r="C7" s="17">
        <f>计算!B21</f>
        <v/>
      </c>
    </row>
    <row r="8">
      <c r="A8" s="20" t="inlineStr">
        <is>
          <t>机械功率 kW</t>
        </is>
      </c>
      <c r="B8" s="17">
        <f>计算!B36</f>
        <v/>
      </c>
      <c r="C8" s="17">
        <f>计算!B37</f>
        <v/>
      </c>
    </row>
    <row r="9">
      <c r="A9" s="20" t="inlineStr">
        <is>
          <t>推荐伺服</t>
        </is>
      </c>
      <c r="B9" s="17">
        <f>计算!B30</f>
        <v/>
      </c>
      <c r="C9" s="17">
        <f>计算!B32</f>
        <v/>
      </c>
    </row>
    <row r="10">
      <c r="A10" s="20" t="inlineStr">
        <is>
          <t>推荐步进</t>
        </is>
      </c>
      <c r="B10" s="17">
        <f>计算!B31</f>
        <v/>
      </c>
      <c r="C10" s="17">
        <f>计算!B33</f>
        <v/>
      </c>
    </row>
    <row r="11">
      <c r="A11" s="20" t="inlineStr">
        <is>
          <t>支承</t>
        </is>
      </c>
      <c r="B11" s="17">
        <f>计算!B16&amp;" + "&amp;计算!B17</f>
        <v/>
      </c>
      <c r="C11" s="17" t="inlineStr">
        <is>
          <t>减速机+齿轮轴轴承（不是BK座）</t>
        </is>
      </c>
    </row>
    <row r="12">
      <c r="A12" s="20" t="inlineStr">
        <is>
          <t>行程适应性</t>
        </is>
      </c>
      <c r="B12" s="17">
        <f>IF(输入!B10&gt;4000,"长行程丝杠易垂","短中行程合适")</f>
        <v/>
      </c>
      <c r="C12" s="17">
        <f>IF(输入!B10&gt;4000,"长行程更合适","短行程也能用")</f>
        <v/>
      </c>
    </row>
    <row r="13">
      <c r="A13" s="20" t="inlineStr">
        <is>
          <t>效率谁高</t>
        </is>
      </c>
      <c r="B13" s="17" t="inlineStr"/>
      <c r="C13" s="17">
        <f>IF(输入!B17*IF(输入!B20&lt;=1,1,输入!B21)&gt;输入!B15,"齿条链效率更高","丝杠效率更高或相当")</f>
        <v/>
      </c>
    </row>
    <row r="15">
      <c r="A15" s="10" t="inlineStr">
        <is>
          <t>手选后（与推荐可能不同）</t>
        </is>
      </c>
    </row>
    <row r="16">
      <c r="A16" s="21" t="inlineStr">
        <is>
          <t>项目</t>
        </is>
      </c>
      <c r="B16" s="21" t="inlineStr">
        <is>
          <t>手选丝杠方案</t>
        </is>
      </c>
      <c r="C16" s="21" t="inlineStr">
        <is>
          <t>手选齿条方案</t>
        </is>
      </c>
    </row>
    <row r="17">
      <c r="A17" s="20" t="inlineStr">
        <is>
          <t>型号/参数</t>
        </is>
      </c>
      <c r="B17" s="22">
        <f>计算!B27</f>
        <v/>
      </c>
      <c r="C17" s="22">
        <f>TEXT(计算!B23,"0.0")&amp;"×"&amp;TEXT(计算!B24,"0")&amp;" "&amp;输入!B16&amp;" i="&amp;TEXT(计算!B38,"0")</f>
        <v/>
      </c>
    </row>
    <row r="18">
      <c r="A18" s="20" t="inlineStr">
        <is>
          <t>转速</t>
        </is>
      </c>
      <c r="B18" s="22">
        <f>计算!B28</f>
        <v/>
      </c>
      <c r="C18" s="22">
        <f>计算!B25</f>
        <v/>
      </c>
    </row>
    <row r="19">
      <c r="A19" s="20" t="inlineStr">
        <is>
          <t>转矩</t>
        </is>
      </c>
      <c r="B19" s="22">
        <f>计算!B29</f>
        <v/>
      </c>
      <c r="C19" s="22">
        <f>计算!B26</f>
        <v/>
      </c>
    </row>
    <row r="20">
      <c r="A20" s="20" t="inlineStr">
        <is>
          <t>伺服</t>
        </is>
      </c>
      <c r="B20" s="22">
        <f>计算!B34</f>
        <v/>
      </c>
      <c r="C20" s="22">
        <f>计算!B34</f>
        <v/>
      </c>
    </row>
    <row r="21">
      <c r="A21" s="20" t="inlineStr">
        <is>
          <t>步进</t>
        </is>
      </c>
      <c r="B21" s="22">
        <f>计算!B35</f>
        <v/>
      </c>
      <c r="C21" s="22">
        <f>计算!B35</f>
        <v/>
      </c>
    </row>
    <row r="22">
      <c r="A22" s="23" t="n"/>
    </row>
    <row r="23">
      <c r="A23" t="inlineStr">
        <is>
          <t>手选电机的安全系数见「目录电机」里对应行的运行SF；低于目标安全系数不要当正式方案。齿条直连（减速比=1）力矩很大，目录可能仍无满足项，请把减速比改为 8～15。</t>
        </is>
      </c>
    </row>
  </sheetData>
  <mergeCells count="2">
    <mergeCell ref="A1:C1"/>
    <mergeCell ref="A23:C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>
      <c r="A1" s="1" t="inlineStr">
        <is>
          <t>非标设计　工艺 / 机械 / 计算机会审</t>
        </is>
      </c>
    </row>
    <row r="3">
      <c r="A3" s="5" t="inlineStr">
        <is>
          <t>机械工程师</t>
        </is>
      </c>
    </row>
    <row r="4" ht="48" customHeight="1">
      <c r="A4" s="2">
        <f>CONCATENATE("工作推力 ",TEXT(计算!B6,"0")," N，总质量 ",TEXT(计算!B2,"0.0")," kg。丝杠推荐 ",计算!B12,"，座 ",计算!B16,"+",计算!B17,"。齿条模数",TEXT(输入!B18,"0.0")," 齿数",TEXT(输入!B19,"0")," 减速比 i=",TEXT(输入!B20,"0"),"。BK只配丝杠，不要装到齿条上。")</f>
        <v/>
      </c>
      <c r="B4" s="3" t="n"/>
      <c r="C4" s="4" t="n"/>
    </row>
    <row r="5" ht="48" customHeight="1">
      <c r="A5" s="2">
        <f>IF(计算!B10="是","垂直或下坡有倒拖，必须抱闸，BF端不要锁死。","水平无倒拖，仍建议电机带刹车，停电不溜。")</f>
        <v/>
      </c>
      <c r="B5" s="3" t="n"/>
      <c r="C5" s="4" t="n"/>
    </row>
    <row r="6" ht="48" customHeight="1">
      <c r="A6" s="2">
        <f>IF(输入!B10&gt;4000,"行程超过4米，机械建议优先齿条，丝杠要中间托。","行程不长，丝杠齿条都能做，对位要求高用丝杠。")</f>
        <v/>
      </c>
      <c r="B6" s="3" t="n"/>
      <c r="C6" s="4" t="n"/>
    </row>
    <row r="7"/>
    <row r="8">
      <c r="A8" s="5" t="inlineStr">
        <is>
          <t>工艺工程师</t>
        </is>
      </c>
    </row>
    <row r="9" ht="48" customHeight="1">
      <c r="A9" s="2">
        <f>IF(AND(输入!B9&gt;=15,计算!B13&gt;1200),"满速15 m/min且丝杠转速高：86步进当常用速度不稳，试车按点动再提速。","按当前速度可以试车：先对导向，再上传动，禁止硬掰同轴。")</f>
        <v/>
      </c>
      <c r="B9" s="3" t="n"/>
      <c r="C9" s="4" t="n"/>
    </row>
    <row r="10" ht="48" customHeight="1">
      <c r="A10" s="2" t="inlineStr">
        <is>
          <t>成套买轴承座，不要拆了用两套深沟球顶替角接触。垂直、倾斜先确认停电刹车能抱住。</t>
        </is>
      </c>
      <c r="B10" s="3" t="n"/>
      <c r="C10" s="4" t="n"/>
    </row>
    <row r="11" ht="48" customHeight="1">
      <c r="A11" s="2">
        <f>IF(输入!B7&lt;50,"机构质量填得过小，核对架子实重再下单。","架子质量已手填，按实重校核有效。")</f>
        <v/>
      </c>
      <c r="B11" s="3" t="n"/>
      <c r="C11" s="4" t="n"/>
    </row>
    <row r="12"/>
    <row r="13">
      <c r="A13" s="5" t="inlineStr">
        <is>
          <t>计算机工程师</t>
        </is>
      </c>
    </row>
    <row r="14" ht="48" customHeight="1">
      <c r="A14" s="2" t="inlineStr">
        <is>
          <t>只改「输入」黄格和下拉。计算、目录、推荐不要手改公式。导出或另存时文件名带日期。</t>
        </is>
      </c>
      <c r="B14" s="3" t="n"/>
      <c r="C14" s="4" t="n"/>
    </row>
    <row r="15" ht="48" customHeight="1">
      <c r="A15" s="2">
        <f>CONCATENATE("建议文件名：选型_",输入!B4,"_",TEXT(输入!B9,"0"),"mmin_",计算!B12)</f>
        <v/>
      </c>
      <c r="B15" s="3" t="n"/>
      <c r="C15" s="4" t="n"/>
    </row>
    <row r="16" ht="48" customHeight="1">
      <c r="A16" s="2" t="inlineStr">
        <is>
          <t>本表是唯一公式源。不要再做另一套网页算法。CAD 源文件不放进这张表。</t>
        </is>
      </c>
      <c r="B16" s="3" t="n"/>
      <c r="C16" s="4" t="n"/>
    </row>
  </sheetData>
  <mergeCells count="9">
    <mergeCell ref="A10:C10"/>
    <mergeCell ref="A11:C11"/>
    <mergeCell ref="A5:C5"/>
    <mergeCell ref="A14:C14"/>
    <mergeCell ref="A6:C6"/>
    <mergeCell ref="A9:C9"/>
    <mergeCell ref="A15:C15"/>
    <mergeCell ref="A4:C4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符号</t>
        </is>
      </c>
      <c r="B1" s="5" t="inlineStr">
        <is>
          <t>数值</t>
        </is>
      </c>
    </row>
    <row r="2">
      <c r="A2" s="20" t="inlineStr">
        <is>
          <t>总质量kg</t>
        </is>
      </c>
      <c r="B2" s="24">
        <f>输入!B6+输入!B7</f>
        <v/>
      </c>
    </row>
    <row r="3">
      <c r="A3" s="20" t="inlineStr">
        <is>
          <t>速度m_s</t>
        </is>
      </c>
      <c r="B3" s="24">
        <f>输入!B9/60</f>
        <v/>
      </c>
    </row>
    <row r="4">
      <c r="A4" s="20" t="inlineStr">
        <is>
          <t>加速度</t>
        </is>
      </c>
      <c r="B4" s="24">
        <f>B3/MAX(输入!B11,0.05)</f>
        <v/>
      </c>
    </row>
    <row r="5">
      <c r="A5" s="20" t="inlineStr">
        <is>
          <t>等效倾角度</t>
        </is>
      </c>
      <c r="B5" s="24">
        <f>IF(输入!B4="水平",0,IF(输入!B4="垂直向上",90,IF(输入!B4="垂直向下",-90,IF(输入!B4="倾斜上坡",输入!B5,-输入!B5))))</f>
        <v/>
      </c>
    </row>
    <row r="6">
      <c r="A6" s="20" t="inlineStr">
        <is>
          <t>工作推力N</t>
        </is>
      </c>
      <c r="B6" s="24">
        <f>ABS(B2*9.81*SIN(B5*PI()/180)+输入!B12*B2*9.81*COS(B5*PI()/180)+B2*B4+输入!B8)</f>
        <v/>
      </c>
    </row>
    <row r="7">
      <c r="A7" s="20" t="inlineStr">
        <is>
          <t>沿程重力N</t>
        </is>
      </c>
      <c r="B7" s="24">
        <f>B2*9.81*SIN(B5*PI()/180)</f>
        <v/>
      </c>
    </row>
    <row r="8">
      <c r="A8" s="20" t="inlineStr">
        <is>
          <t>摩擦N</t>
        </is>
      </c>
      <c r="B8" s="24">
        <f>输入!B12*B2*9.81*ABS(COS(B5*PI()/180))</f>
        <v/>
      </c>
    </row>
    <row r="9">
      <c r="A9" s="20" t="inlineStr">
        <is>
          <t>加速力N</t>
        </is>
      </c>
      <c r="B9" s="24">
        <f>B2*B4</f>
        <v/>
      </c>
    </row>
    <row r="10">
      <c r="A10" s="20" t="inlineStr">
        <is>
          <t>是否倒拖</t>
        </is>
      </c>
      <c r="B10" s="24">
        <f>IF(B2*9.81*SIN(B5*PI()/180)+B2*B4+输入!B8&lt;0,"是","否")</f>
        <v/>
      </c>
    </row>
    <row r="11">
      <c r="A11" s="20" t="inlineStr">
        <is>
          <t>推荐丝杠行</t>
        </is>
      </c>
      <c r="B11" s="24">
        <f>IFERROR(MATCH(1,目录丝杠!J2:J13,0),1)</f>
        <v/>
      </c>
    </row>
    <row r="12">
      <c r="A12" s="20" t="inlineStr">
        <is>
          <t>推荐丝杠</t>
        </is>
      </c>
      <c r="B12" s="24">
        <f>INDEX(目录丝杠!A2:A13,B11)</f>
        <v/>
      </c>
    </row>
    <row r="13">
      <c r="A13" s="20" t="inlineStr">
        <is>
          <t>丝杠转速</t>
        </is>
      </c>
      <c r="B13" s="24">
        <f>INDEX(目录丝杠!F2:F13,B11)</f>
        <v/>
      </c>
    </row>
    <row r="14">
      <c r="A14" s="20" t="inlineStr">
        <is>
          <t>丝杠工作转矩</t>
        </is>
      </c>
      <c r="B14" s="24">
        <f>INDEX(目录丝杠!G2:G13,B11)</f>
        <v/>
      </c>
    </row>
    <row r="15">
      <c r="A15" s="20" t="inlineStr">
        <is>
          <t>丝杠启动转矩</t>
        </is>
      </c>
      <c r="B15" s="24">
        <f>B6*INDEX(目录丝杠!C2:C13,B11)/1000/(2*PI()*输入!B15)*IF(输入!B4="水平",MAX(输入!B12,0.15)/MAX(输入!B12,0.01),1)</f>
        <v/>
      </c>
    </row>
    <row r="16">
      <c r="A16" s="20" t="inlineStr">
        <is>
          <t>推荐BK</t>
        </is>
      </c>
      <c r="B16" s="24">
        <f>INDEX(目录丝杠!K2:K13,B11)</f>
        <v/>
      </c>
    </row>
    <row r="17">
      <c r="A17" s="20" t="inlineStr">
        <is>
          <t>推荐BF</t>
        </is>
      </c>
      <c r="B17" s="24">
        <f>INDEX(目录丝杠!L2:L13,B11)</f>
        <v/>
      </c>
    </row>
    <row r="18">
      <c r="A18" s="20" t="inlineStr">
        <is>
          <t>角接触</t>
        </is>
      </c>
      <c r="B18" s="24">
        <f>INDEX(目录丝杠!M2:M13,B11)</f>
        <v/>
      </c>
    </row>
    <row r="19">
      <c r="A19" s="20" t="inlineStr">
        <is>
          <t>深沟球</t>
        </is>
      </c>
      <c r="B19" s="24">
        <f>INDEX(目录丝杠!N2:N13,B11)</f>
        <v/>
      </c>
    </row>
    <row r="20">
      <c r="A20" s="20" t="inlineStr">
        <is>
          <t>齿条电机转速</t>
        </is>
      </c>
      <c r="B20" s="24">
        <f>输入!B9*1000/(PI()*输入!B18*输入!B19)*MAX(输入!B20,1)</f>
        <v/>
      </c>
    </row>
    <row r="21">
      <c r="A21" s="20" t="inlineStr">
        <is>
          <t>齿条电机转矩</t>
        </is>
      </c>
      <c r="B21" s="24">
        <f>B6*(输入!B18*输入!B19)/2000/输入!B17/MAX(输入!B20,1)/IF(输入!B20&lt;=1,1,输入!B21)</f>
        <v/>
      </c>
    </row>
    <row r="22">
      <c r="A22" s="20" t="inlineStr">
        <is>
          <t>齿条启动转矩</t>
        </is>
      </c>
      <c r="B22" s="24">
        <f>B15/MAX(B14,0.01)*B21</f>
        <v/>
      </c>
    </row>
    <row r="23">
      <c r="A23" s="20" t="inlineStr">
        <is>
          <t>有效齿条模数</t>
        </is>
      </c>
      <c r="B23" s="24">
        <f>IF(输入!B27="（用推荐）",输入!B18,VALUE(输入!B27))</f>
        <v/>
      </c>
    </row>
    <row r="24">
      <c r="A24" s="20" t="inlineStr">
        <is>
          <t>有效齿条齿数</t>
        </is>
      </c>
      <c r="B24" s="24">
        <f>IF(输入!B28="（用推荐）",输入!B19,VALUE(输入!B28))</f>
        <v/>
      </c>
    </row>
    <row r="25">
      <c r="A25" s="20" t="inlineStr">
        <is>
          <t>手选后齿条转速</t>
        </is>
      </c>
      <c r="B25" s="24">
        <f>输入!B9*1000/(PI()*B23*B24)*MAX(B38,1)</f>
        <v/>
      </c>
    </row>
    <row r="26">
      <c r="A26" s="20" t="inlineStr">
        <is>
          <t>手选后齿条转矩</t>
        </is>
      </c>
      <c r="B26" s="24">
        <f>B6*(B23*B24)/2000/输入!B17/MAX(B38,1)/IF(B38&lt;=1,1,输入!B21)</f>
        <v/>
      </c>
    </row>
    <row r="27">
      <c r="A27" s="20" t="inlineStr">
        <is>
          <t>有效丝杠</t>
        </is>
      </c>
      <c r="B27" s="24">
        <f>IF(输入!B24="（用推荐）",B12,输入!B24)</f>
        <v/>
      </c>
    </row>
    <row r="28">
      <c r="A28" s="20" t="inlineStr">
        <is>
          <t>有效丝杠转速</t>
        </is>
      </c>
      <c r="B28" s="24">
        <f>IFERROR(INDEX(目录丝杠!F2:F13,MATCH(B27,目录丝杠!A2:A13,0)),B13)</f>
        <v/>
      </c>
    </row>
    <row r="29">
      <c r="A29" s="20" t="inlineStr">
        <is>
          <t>有效丝杠转矩</t>
        </is>
      </c>
      <c r="B29" s="24">
        <f>IFERROR(INDEX(目录丝杠!G2:G13,MATCH(B27,目录丝杠!A2:A13,0)),B14)</f>
        <v/>
      </c>
    </row>
    <row r="30">
      <c r="A30" s="20" t="inlineStr">
        <is>
          <t>推荐伺服</t>
        </is>
      </c>
      <c r="B30" s="24">
        <f>IFERROR(INDEX(目录电机!B2:B7,MATCH(1,目录电机!K2:K7,0)),"无满足项，请降速或加大电机")</f>
        <v/>
      </c>
    </row>
    <row r="31">
      <c r="A31" s="20" t="inlineStr">
        <is>
          <t>推荐步进</t>
        </is>
      </c>
      <c r="B31" s="24">
        <f>IFERROR(INDEX(目录电机!B8:B12,MATCH(1,目录电机!K8:K12,0)),"无满足项，请降速或改110/130")</f>
        <v/>
      </c>
    </row>
    <row r="32">
      <c r="A32" s="20" t="inlineStr">
        <is>
          <t>齿条推荐伺服</t>
        </is>
      </c>
      <c r="B32" s="24">
        <f>IFERROR(INDEX(目录电机!B2:B7,MATCH(1,目录电机!O2:O7,0)),"无满足项，请加大减速比")</f>
        <v/>
      </c>
    </row>
    <row r="33">
      <c r="A33" s="20" t="inlineStr">
        <is>
          <t>齿条推荐步进</t>
        </is>
      </c>
      <c r="B33" s="24">
        <f>IFERROR(INDEX(目录电机!B8:B12,MATCH(1,目录电机!O8:O12,0)),"无满足项，请加大减速比")</f>
        <v/>
      </c>
    </row>
    <row r="34">
      <c r="A34" s="20" t="inlineStr">
        <is>
          <t>有效伺服</t>
        </is>
      </c>
      <c r="B34" s="24">
        <f>IF(输入!B25="（用推荐）",B30,输入!B25)</f>
        <v/>
      </c>
    </row>
    <row r="35">
      <c r="A35" s="20" t="inlineStr">
        <is>
          <t>有效步进</t>
        </is>
      </c>
      <c r="B35" s="24">
        <f>IF(输入!B26="（用推荐）",B31,输入!B26)</f>
        <v/>
      </c>
    </row>
    <row r="36">
      <c r="A36" s="20" t="inlineStr">
        <is>
          <t>机械功率kW</t>
        </is>
      </c>
      <c r="B36" s="24">
        <f>B14*B13/9550</f>
        <v/>
      </c>
    </row>
    <row r="37">
      <c r="A37" s="20" t="inlineStr">
        <is>
          <t>齿条功率kW</t>
        </is>
      </c>
      <c r="B37" s="24">
        <f>B21*B20/9550</f>
        <v/>
      </c>
    </row>
    <row r="38">
      <c r="A38" s="20" t="inlineStr">
        <is>
          <t>有效减速比</t>
        </is>
      </c>
      <c r="B38" s="24">
        <f>IF(输入!B29="（用推荐）",输入!B20,VALUE(输入!B29))</f>
        <v/>
      </c>
    </row>
    <row r="39">
      <c r="A39" s="20" t="inlineStr">
        <is>
          <t>齿轮轴转速</t>
        </is>
      </c>
      <c r="B39" s="24">
        <f>输入!B9*1000/(PI()*输入!B18*输入!B19)</f>
        <v/>
      </c>
    </row>
    <row r="40">
      <c r="A40" s="20" t="inlineStr">
        <is>
          <t>推荐导程mm</t>
        </is>
      </c>
      <c r="B40" s="24">
        <f>INDEX(目录丝杠!C2:C13,B11)</f>
        <v/>
      </c>
    </row>
    <row r="41">
      <c r="A41" s="20" t="inlineStr">
        <is>
          <t>sinθ</t>
        </is>
      </c>
      <c r="B41" s="24">
        <f>SIN(B5*PI()/180)</f>
        <v/>
      </c>
    </row>
    <row r="42">
      <c r="A42" s="20" t="inlineStr">
        <is>
          <t>cosθ</t>
        </is>
      </c>
      <c r="B42" s="24">
        <f>COS(B5*PI()/180)</f>
        <v/>
      </c>
    </row>
    <row r="43">
      <c r="A43" s="20" t="inlineStr">
        <is>
          <t>2πη</t>
        </is>
      </c>
      <c r="B43" s="24">
        <f>2*PI()*输入!B15</f>
        <v/>
      </c>
    </row>
    <row r="44">
      <c r="A44" s="20" t="inlineStr">
        <is>
          <t>齿条节圆半径mm</t>
        </is>
      </c>
      <c r="B44" s="24">
        <f>输入!B18*输入!B19/2</f>
        <v/>
      </c>
    </row>
    <row r="45">
      <c r="A45" s="20" t="inlineStr">
        <is>
          <t>推力未取绝对值N</t>
        </is>
      </c>
      <c r="B45" s="24">
        <f>B7+B8+B9+输入!B8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4" customWidth="1" min="9" max="9"/>
    <col width="8" customWidth="1" min="10" max="10"/>
    <col width="10" customWidth="1" min="11" max="11"/>
    <col width="10" customWidth="1" min="12" max="12"/>
    <col width="16" customWidth="1" min="13" max="13"/>
    <col width="14" customWidth="1" min="14" max="14"/>
  </cols>
  <sheetData>
    <row r="1">
      <c r="A1" s="5" t="inlineStr">
        <is>
          <t>型号</t>
        </is>
      </c>
      <c r="B1" s="5" t="inlineStr">
        <is>
          <t>直径mm</t>
        </is>
      </c>
      <c r="C1" s="5" t="inlineStr">
        <is>
          <t>导程mm</t>
        </is>
      </c>
      <c r="D1" s="5" t="inlineStr">
        <is>
          <t>动载kN</t>
        </is>
      </c>
      <c r="E1" s="5" t="inlineStr">
        <is>
          <t>现货</t>
        </is>
      </c>
      <c r="F1" s="5" t="inlineStr">
        <is>
          <t>转速</t>
        </is>
      </c>
      <c r="G1" s="5" t="inlineStr">
        <is>
          <t>转矩</t>
        </is>
      </c>
      <c r="H1" s="5" t="inlineStr">
        <is>
          <t>丝杠长</t>
        </is>
      </c>
      <c r="I1" s="5" t="inlineStr">
        <is>
          <t>临界转速</t>
        </is>
      </c>
      <c r="J1" s="5" t="inlineStr">
        <is>
          <t>可用</t>
        </is>
      </c>
      <c r="K1" s="5" t="inlineStr">
        <is>
          <t>BK</t>
        </is>
      </c>
      <c r="L1" s="5" t="inlineStr">
        <is>
          <t>BF</t>
        </is>
      </c>
      <c r="M1" s="5" t="inlineStr">
        <is>
          <t>座内角接触</t>
        </is>
      </c>
      <c r="N1" s="5" t="inlineStr">
        <is>
          <t>座内深沟球</t>
        </is>
      </c>
    </row>
    <row r="2">
      <c r="A2" s="20" t="inlineStr">
        <is>
          <t>SFU2510-3</t>
        </is>
      </c>
      <c r="B2" s="20" t="n">
        <v>25</v>
      </c>
      <c r="C2" s="20" t="n">
        <v>10</v>
      </c>
      <c r="D2" s="24" t="n">
        <v>17.8</v>
      </c>
      <c r="E2" s="20" t="n">
        <v>1</v>
      </c>
      <c r="F2" s="24">
        <f>输入!$B$9*1000/C2</f>
        <v/>
      </c>
      <c r="G2" s="24">
        <f>计算!$B$6*C2/1000/(2*PI()*输入!$B$15)</f>
        <v/>
      </c>
      <c r="H2" s="24">
        <f>输入!$B$10+400</f>
        <v/>
      </c>
      <c r="I2" s="24">
        <f>15.1E8*B2/H2^2*0.8</f>
        <v/>
      </c>
      <c r="J2" s="20">
        <f>IF(AND(E2=1,F2&lt;=3000,F2&lt;I2,IF(输入!$B$10&gt;1800,B2&gt;=25,TRUE),IF(AND(C2=5,F2&gt;1400),FALSE,TRUE),IF(计算!$B$6&gt;800,B2&gt;=25,TRUE)),1,0)</f>
        <v/>
      </c>
      <c r="K2" s="20">
        <f>IF(B2&lt;=16,"BK12",IF(B2&lt;=20,"BK15",IF(B2&lt;=32,"BK20",IF(B2&lt;=40,"BK25","BK30"))))</f>
        <v/>
      </c>
      <c r="L2" s="20">
        <f>IF(B2&lt;=16,"BF12",IF(B2&lt;=20,"BF15",IF(B2&lt;=32,"BF20",IF(B2&lt;=40,"BF25","BF30"))))</f>
        <v/>
      </c>
      <c r="M2" s="20" t="inlineStr">
        <is>
          <t>7004AC×2</t>
        </is>
      </c>
      <c r="N2" s="20" t="inlineStr">
        <is>
          <t>6004ZZ</t>
        </is>
      </c>
    </row>
    <row r="3">
      <c r="A3" s="20" t="inlineStr">
        <is>
          <t>SFU4010-3</t>
        </is>
      </c>
      <c r="B3" s="20" t="n">
        <v>40</v>
      </c>
      <c r="C3" s="20" t="n">
        <v>10</v>
      </c>
      <c r="D3" s="24" t="n">
        <v>37.4</v>
      </c>
      <c r="E3" s="20" t="n">
        <v>1</v>
      </c>
      <c r="F3" s="24">
        <f>输入!$B$9*1000/C3</f>
        <v/>
      </c>
      <c r="G3" s="24">
        <f>计算!$B$6*C3/1000/(2*PI()*输入!$B$15)</f>
        <v/>
      </c>
      <c r="H3" s="24">
        <f>输入!$B$10+400</f>
        <v/>
      </c>
      <c r="I3" s="24">
        <f>15.1E8*B3/H3^2*0.8</f>
        <v/>
      </c>
      <c r="J3" s="20">
        <f>IF(AND(E3=1,F3&lt;=3000,F3&lt;I3,IF(输入!$B$10&gt;1800,B3&gt;=25,TRUE),IF(AND(C3=5,F3&gt;1400),FALSE,TRUE),IF(计算!$B$6&gt;800,B3&gt;=25,TRUE)),1,0)</f>
        <v/>
      </c>
      <c r="K3" s="20">
        <f>IF(B3&lt;=16,"BK12",IF(B3&lt;=20,"BK15",IF(B3&lt;=32,"BK20",IF(B3&lt;=40,"BK25","BK30"))))</f>
        <v/>
      </c>
      <c r="L3" s="20">
        <f>IF(B3&lt;=16,"BF12",IF(B3&lt;=20,"BF15",IF(B3&lt;=32,"BF20",IF(B3&lt;=40,"BF25","BF30"))))</f>
        <v/>
      </c>
      <c r="M3" s="20" t="inlineStr">
        <is>
          <t>7205AC×2</t>
        </is>
      </c>
      <c r="N3" s="20" t="inlineStr">
        <is>
          <t>6005ZZ</t>
        </is>
      </c>
    </row>
    <row r="4">
      <c r="A4" s="20" t="inlineStr">
        <is>
          <t>SFU2010-3</t>
        </is>
      </c>
      <c r="B4" s="20" t="n">
        <v>20</v>
      </c>
      <c r="C4" s="20" t="n">
        <v>10</v>
      </c>
      <c r="D4" s="24" t="n">
        <v>11</v>
      </c>
      <c r="E4" s="20" t="n">
        <v>1</v>
      </c>
      <c r="F4" s="24">
        <f>输入!$B$9*1000/C4</f>
        <v/>
      </c>
      <c r="G4" s="24">
        <f>计算!$B$6*C4/1000/(2*PI()*输入!$B$15)</f>
        <v/>
      </c>
      <c r="H4" s="24">
        <f>输入!$B$10+400</f>
        <v/>
      </c>
      <c r="I4" s="24">
        <f>15.1E8*B4/H4^2*0.8</f>
        <v/>
      </c>
      <c r="J4" s="20">
        <f>IF(AND(E4=1,F4&lt;=3000,F4&lt;I4,IF(输入!$B$10&gt;1800,B4&gt;=25,TRUE),IF(AND(C4=5,F4&gt;1400),FALSE,TRUE),IF(计算!$B$6&gt;800,B4&gt;=25,TRUE)),1,0)</f>
        <v/>
      </c>
      <c r="K4" s="20">
        <f>IF(B4&lt;=16,"BK12",IF(B4&lt;=20,"BK15",IF(B4&lt;=32,"BK20",IF(B4&lt;=40,"BK25","BK30"))))</f>
        <v/>
      </c>
      <c r="L4" s="20">
        <f>IF(B4&lt;=16,"BF12",IF(B4&lt;=20,"BF15",IF(B4&lt;=32,"BF20",IF(B4&lt;=40,"BF25","BF30"))))</f>
        <v/>
      </c>
      <c r="M4" s="20" t="inlineStr">
        <is>
          <t>7002AC×2</t>
        </is>
      </c>
      <c r="N4" s="20" t="inlineStr">
        <is>
          <t>6002ZZ</t>
        </is>
      </c>
    </row>
    <row r="5">
      <c r="A5" s="20" t="inlineStr">
        <is>
          <t>SFU2505-3</t>
        </is>
      </c>
      <c r="B5" s="20" t="n">
        <v>25</v>
      </c>
      <c r="C5" s="20" t="n">
        <v>5</v>
      </c>
      <c r="D5" s="24" t="n">
        <v>17.8</v>
      </c>
      <c r="E5" s="20" t="n">
        <v>1</v>
      </c>
      <c r="F5" s="24">
        <f>输入!$B$9*1000/C5</f>
        <v/>
      </c>
      <c r="G5" s="24">
        <f>计算!$B$6*C5/1000/(2*PI()*输入!$B$15)</f>
        <v/>
      </c>
      <c r="H5" s="24">
        <f>输入!$B$10+400</f>
        <v/>
      </c>
      <c r="I5" s="24">
        <f>15.1E8*B5/H5^2*0.8</f>
        <v/>
      </c>
      <c r="J5" s="20">
        <f>IF(AND(E5=1,F5&lt;=3000,F5&lt;I5,IF(输入!$B$10&gt;1800,B5&gt;=25,TRUE),IF(AND(C5=5,F5&gt;1400),FALSE,TRUE),IF(计算!$B$6&gt;800,B5&gt;=25,TRUE)),1,0)</f>
        <v/>
      </c>
      <c r="K5" s="20">
        <f>IF(B5&lt;=16,"BK12",IF(B5&lt;=20,"BK15",IF(B5&lt;=32,"BK20",IF(B5&lt;=40,"BK25","BK30"))))</f>
        <v/>
      </c>
      <c r="L5" s="20">
        <f>IF(B5&lt;=16,"BF12",IF(B5&lt;=20,"BF15",IF(B5&lt;=32,"BF20",IF(B5&lt;=40,"BF25","BF30"))))</f>
        <v/>
      </c>
      <c r="M5" s="20" t="inlineStr">
        <is>
          <t>7004AC×2</t>
        </is>
      </c>
      <c r="N5" s="20" t="inlineStr">
        <is>
          <t>6004ZZ</t>
        </is>
      </c>
    </row>
    <row r="6">
      <c r="A6" s="20" t="inlineStr">
        <is>
          <t>SFU4005-3</t>
        </is>
      </c>
      <c r="B6" s="20" t="n">
        <v>40</v>
      </c>
      <c r="C6" s="20" t="n">
        <v>5</v>
      </c>
      <c r="D6" s="24" t="n">
        <v>37.4</v>
      </c>
      <c r="E6" s="20" t="n">
        <v>1</v>
      </c>
      <c r="F6" s="24">
        <f>输入!$B$9*1000/C6</f>
        <v/>
      </c>
      <c r="G6" s="24">
        <f>计算!$B$6*C6/1000/(2*PI()*输入!$B$15)</f>
        <v/>
      </c>
      <c r="H6" s="24">
        <f>输入!$B$10+400</f>
        <v/>
      </c>
      <c r="I6" s="24">
        <f>15.1E8*B6/H6^2*0.8</f>
        <v/>
      </c>
      <c r="J6" s="20">
        <f>IF(AND(E6=1,F6&lt;=3000,F6&lt;I6,IF(输入!$B$10&gt;1800,B6&gt;=25,TRUE),IF(AND(C6=5,F6&gt;1400),FALSE,TRUE),IF(计算!$B$6&gt;800,B6&gt;=25,TRUE)),1,0)</f>
        <v/>
      </c>
      <c r="K6" s="20">
        <f>IF(B6&lt;=16,"BK12",IF(B6&lt;=20,"BK15",IF(B6&lt;=32,"BK20",IF(B6&lt;=40,"BK25","BK30"))))</f>
        <v/>
      </c>
      <c r="L6" s="20">
        <f>IF(B6&lt;=16,"BF12",IF(B6&lt;=20,"BF15",IF(B6&lt;=32,"BF20",IF(B6&lt;=40,"BF25","BF30"))))</f>
        <v/>
      </c>
      <c r="M6" s="20" t="inlineStr">
        <is>
          <t>7205AC×2</t>
        </is>
      </c>
      <c r="N6" s="20" t="inlineStr">
        <is>
          <t>6005ZZ</t>
        </is>
      </c>
    </row>
    <row r="7">
      <c r="A7" s="20" t="inlineStr">
        <is>
          <t>SFU2005-3</t>
        </is>
      </c>
      <c r="B7" s="20" t="n">
        <v>20</v>
      </c>
      <c r="C7" s="20" t="n">
        <v>5</v>
      </c>
      <c r="D7" s="24" t="n">
        <v>11</v>
      </c>
      <c r="E7" s="20" t="n">
        <v>1</v>
      </c>
      <c r="F7" s="24">
        <f>输入!$B$9*1000/C7</f>
        <v/>
      </c>
      <c r="G7" s="24">
        <f>计算!$B$6*C7/1000/(2*PI()*输入!$B$15)</f>
        <v/>
      </c>
      <c r="H7" s="24">
        <f>输入!$B$10+400</f>
        <v/>
      </c>
      <c r="I7" s="24">
        <f>15.1E8*B7/H7^2*0.8</f>
        <v/>
      </c>
      <c r="J7" s="20">
        <f>IF(AND(E7=1,F7&lt;=3000,F7&lt;I7,IF(输入!$B$10&gt;1800,B7&gt;=25,TRUE),IF(AND(C7=5,F7&gt;1400),FALSE,TRUE),IF(计算!$B$6&gt;800,B7&gt;=25,TRUE)),1,0)</f>
        <v/>
      </c>
      <c r="K7" s="20">
        <f>IF(B7&lt;=16,"BK12",IF(B7&lt;=20,"BK15",IF(B7&lt;=32,"BK20",IF(B7&lt;=40,"BK25","BK30"))))</f>
        <v/>
      </c>
      <c r="L7" s="20">
        <f>IF(B7&lt;=16,"BF12",IF(B7&lt;=20,"BF15",IF(B7&lt;=32,"BF20",IF(B7&lt;=40,"BF25","BF30"))))</f>
        <v/>
      </c>
      <c r="M7" s="20" t="inlineStr">
        <is>
          <t>7002AC×2</t>
        </is>
      </c>
      <c r="N7" s="20" t="inlineStr">
        <is>
          <t>6002ZZ</t>
        </is>
      </c>
    </row>
    <row r="8">
      <c r="A8" s="20" t="inlineStr">
        <is>
          <t>SFU5010-3</t>
        </is>
      </c>
      <c r="B8" s="20" t="n">
        <v>50</v>
      </c>
      <c r="C8" s="20" t="n">
        <v>10</v>
      </c>
      <c r="D8" s="24" t="n">
        <v>54</v>
      </c>
      <c r="E8" s="20" t="n">
        <v>1</v>
      </c>
      <c r="F8" s="24">
        <f>输入!$B$9*1000/C8</f>
        <v/>
      </c>
      <c r="G8" s="24">
        <f>计算!$B$6*C8/1000/(2*PI()*输入!$B$15)</f>
        <v/>
      </c>
      <c r="H8" s="24">
        <f>输入!$B$10+400</f>
        <v/>
      </c>
      <c r="I8" s="24">
        <f>15.1E8*B8/H8^2*0.8</f>
        <v/>
      </c>
      <c r="J8" s="20">
        <f>IF(AND(E8=1,F8&lt;=3000,F8&lt;I8,IF(输入!$B$10&gt;1800,B8&gt;=25,TRUE),IF(AND(C8=5,F8&gt;1400),FALSE,TRUE),IF(计算!$B$6&gt;800,B8&gt;=25,TRUE)),1,0)</f>
        <v/>
      </c>
      <c r="K8" s="20">
        <f>IF(B8&lt;=16,"BK12",IF(B8&lt;=20,"BK15",IF(B8&lt;=32,"BK20",IF(B8&lt;=40,"BK25","BK30"))))</f>
        <v/>
      </c>
      <c r="L8" s="20">
        <f>IF(B8&lt;=16,"BF12",IF(B8&lt;=20,"BF15",IF(B8&lt;=32,"BF20",IF(B8&lt;=40,"BF25","BF30"))))</f>
        <v/>
      </c>
      <c r="M8" s="20" t="inlineStr">
        <is>
          <t>7206AC×2</t>
        </is>
      </c>
      <c r="N8" s="20" t="inlineStr">
        <is>
          <t>6006ZZ</t>
        </is>
      </c>
    </row>
    <row r="9">
      <c r="A9" s="20" t="inlineStr">
        <is>
          <t>SFU3205-3</t>
        </is>
      </c>
      <c r="B9" s="20" t="n">
        <v>32</v>
      </c>
      <c r="C9" s="20" t="n">
        <v>5</v>
      </c>
      <c r="D9" s="24" t="n">
        <v>27</v>
      </c>
      <c r="E9" s="20" t="n">
        <v>1</v>
      </c>
      <c r="F9" s="24">
        <f>输入!$B$9*1000/C9</f>
        <v/>
      </c>
      <c r="G9" s="24">
        <f>计算!$B$6*C9/1000/(2*PI()*输入!$B$15)</f>
        <v/>
      </c>
      <c r="H9" s="24">
        <f>输入!$B$10+400</f>
        <v/>
      </c>
      <c r="I9" s="24">
        <f>15.1E8*B9/H9^2*0.8</f>
        <v/>
      </c>
      <c r="J9" s="20">
        <f>IF(AND(E9=1,F9&lt;=3000,F9&lt;I9,IF(输入!$B$10&gt;1800,B9&gt;=25,TRUE),IF(AND(C9=5,F9&gt;1400),FALSE,TRUE),IF(计算!$B$6&gt;800,B9&gt;=25,TRUE)),1,0)</f>
        <v/>
      </c>
      <c r="K9" s="20">
        <f>IF(B9&lt;=16,"BK12",IF(B9&lt;=20,"BK15",IF(B9&lt;=32,"BK20",IF(B9&lt;=40,"BK25","BK30"))))</f>
        <v/>
      </c>
      <c r="L9" s="20">
        <f>IF(B9&lt;=16,"BF12",IF(B9&lt;=20,"BF15",IF(B9&lt;=32,"BF20",IF(B9&lt;=40,"BF25","BF30"))))</f>
        <v/>
      </c>
      <c r="M9" s="20" t="inlineStr">
        <is>
          <t>7004AC×2</t>
        </is>
      </c>
      <c r="N9" s="20" t="inlineStr">
        <is>
          <t>6004ZZ</t>
        </is>
      </c>
    </row>
    <row r="10">
      <c r="A10" s="20" t="inlineStr">
        <is>
          <t>SFU1605-3</t>
        </is>
      </c>
      <c r="B10" s="20" t="n">
        <v>16</v>
      </c>
      <c r="C10" s="20" t="n">
        <v>5</v>
      </c>
      <c r="D10" s="24" t="n">
        <v>7.8</v>
      </c>
      <c r="E10" s="20" t="n">
        <v>1</v>
      </c>
      <c r="F10" s="24">
        <f>输入!$B$9*1000/C10</f>
        <v/>
      </c>
      <c r="G10" s="24">
        <f>计算!$B$6*C10/1000/(2*PI()*输入!$B$15)</f>
        <v/>
      </c>
      <c r="H10" s="24">
        <f>输入!$B$10+400</f>
        <v/>
      </c>
      <c r="I10" s="24">
        <f>15.1E8*B10/H10^2*0.8</f>
        <v/>
      </c>
      <c r="J10" s="20">
        <f>IF(AND(E10=1,F10&lt;=3000,F10&lt;I10,IF(输入!$B$10&gt;1800,B10&gt;=25,TRUE),IF(AND(C10=5,F10&gt;1400),FALSE,TRUE),IF(计算!$B$6&gt;800,B10&gt;=25,TRUE)),1,0)</f>
        <v/>
      </c>
      <c r="K10" s="20">
        <f>IF(B10&lt;=16,"BK12",IF(B10&lt;=20,"BK15",IF(B10&lt;=32,"BK20",IF(B10&lt;=40,"BK25","BK30"))))</f>
        <v/>
      </c>
      <c r="L10" s="20">
        <f>IF(B10&lt;=16,"BF12",IF(B10&lt;=20,"BF15",IF(B10&lt;=32,"BF20",IF(B10&lt;=40,"BF25","BF30"))))</f>
        <v/>
      </c>
      <c r="M10" s="20" t="inlineStr">
        <is>
          <t>7001AC×2</t>
        </is>
      </c>
      <c r="N10" s="20" t="inlineStr">
        <is>
          <t>6001ZZ</t>
        </is>
      </c>
    </row>
    <row r="11">
      <c r="A11" s="20" t="inlineStr">
        <is>
          <t>SFU3210-3</t>
        </is>
      </c>
      <c r="B11" s="20" t="n">
        <v>32</v>
      </c>
      <c r="C11" s="20" t="n">
        <v>10</v>
      </c>
      <c r="D11" s="24" t="n">
        <v>27</v>
      </c>
      <c r="E11" s="20" t="n">
        <v>0</v>
      </c>
      <c r="F11" s="24">
        <f>输入!$B$9*1000/C11</f>
        <v/>
      </c>
      <c r="G11" s="24">
        <f>计算!$B$6*C11/1000/(2*PI()*输入!$B$15)</f>
        <v/>
      </c>
      <c r="H11" s="24">
        <f>输入!$B$10+400</f>
        <v/>
      </c>
      <c r="I11" s="24">
        <f>15.1E8*B11/H11^2*0.8</f>
        <v/>
      </c>
      <c r="J11" s="20">
        <f>IF(AND(E11=1,F11&lt;=3000,F11&lt;I11,IF(输入!$B$10&gt;1800,B11&gt;=25,TRUE),IF(AND(C11=5,F11&gt;1400),FALSE,TRUE),IF(计算!$B$6&gt;800,B11&gt;=25,TRUE)),1,0)</f>
        <v/>
      </c>
      <c r="K11" s="20">
        <f>IF(B11&lt;=16,"BK12",IF(B11&lt;=20,"BK15",IF(B11&lt;=32,"BK20",IF(B11&lt;=40,"BK25","BK30"))))</f>
        <v/>
      </c>
      <c r="L11" s="20">
        <f>IF(B11&lt;=16,"BF12",IF(B11&lt;=20,"BF15",IF(B11&lt;=32,"BF20",IF(B11&lt;=40,"BF25","BF30"))))</f>
        <v/>
      </c>
      <c r="M11" s="20" t="inlineStr">
        <is>
          <t>7004AC×2</t>
        </is>
      </c>
      <c r="N11" s="20" t="inlineStr">
        <is>
          <t>6004ZZ</t>
        </is>
      </c>
    </row>
    <row r="12">
      <c r="A12" s="20" t="inlineStr">
        <is>
          <t>SFU3220-3</t>
        </is>
      </c>
      <c r="B12" s="20" t="n">
        <v>32</v>
      </c>
      <c r="C12" s="20" t="n">
        <v>20</v>
      </c>
      <c r="D12" s="24" t="n">
        <v>27</v>
      </c>
      <c r="E12" s="20" t="n">
        <v>0</v>
      </c>
      <c r="F12" s="24">
        <f>输入!$B$9*1000/C12</f>
        <v/>
      </c>
      <c r="G12" s="24">
        <f>计算!$B$6*C12/1000/(2*PI()*输入!$B$15)</f>
        <v/>
      </c>
      <c r="H12" s="24">
        <f>输入!$B$10+400</f>
        <v/>
      </c>
      <c r="I12" s="24">
        <f>15.1E8*B12/H12^2*0.8</f>
        <v/>
      </c>
      <c r="J12" s="20">
        <f>IF(AND(E12=1,F12&lt;=3000,F12&lt;I12,IF(输入!$B$10&gt;1800,B12&gt;=25,TRUE),IF(AND(C12=5,F12&gt;1400),FALSE,TRUE),IF(计算!$B$6&gt;800,B12&gt;=25,TRUE)),1,0)</f>
        <v/>
      </c>
      <c r="K12" s="20">
        <f>IF(B12&lt;=16,"BK12",IF(B12&lt;=20,"BK15",IF(B12&lt;=32,"BK20",IF(B12&lt;=40,"BK25","BK30"))))</f>
        <v/>
      </c>
      <c r="L12" s="20">
        <f>IF(B12&lt;=16,"BF12",IF(B12&lt;=20,"BF15",IF(B12&lt;=32,"BF20",IF(B12&lt;=40,"BF25","BF30"))))</f>
        <v/>
      </c>
      <c r="M12" s="20" t="inlineStr">
        <is>
          <t>7004AC×2</t>
        </is>
      </c>
      <c r="N12" s="20" t="inlineStr">
        <is>
          <t>6004ZZ</t>
        </is>
      </c>
    </row>
    <row r="13">
      <c r="A13" s="20" t="inlineStr">
        <is>
          <t>SFU4020-3</t>
        </is>
      </c>
      <c r="B13" s="20" t="n">
        <v>40</v>
      </c>
      <c r="C13" s="20" t="n">
        <v>20</v>
      </c>
      <c r="D13" s="24" t="n">
        <v>37.4</v>
      </c>
      <c r="E13" s="20" t="n">
        <v>0</v>
      </c>
      <c r="F13" s="24">
        <f>输入!$B$9*1000/C13</f>
        <v/>
      </c>
      <c r="G13" s="24">
        <f>计算!$B$6*C13/1000/(2*PI()*输入!$B$15)</f>
        <v/>
      </c>
      <c r="H13" s="24">
        <f>输入!$B$10+400</f>
        <v/>
      </c>
      <c r="I13" s="24">
        <f>15.1E8*B13/H13^2*0.8</f>
        <v/>
      </c>
      <c r="J13" s="20">
        <f>IF(AND(E13=1,F13&lt;=3000,F13&lt;I13,IF(输入!$B$10&gt;1800,B13&gt;=25,TRUE),IF(AND(C13=5,F13&gt;1400),FALSE,TRUE),IF(计算!$B$6&gt;800,B13&gt;=25,TRUE)),1,0)</f>
        <v/>
      </c>
      <c r="K13" s="20">
        <f>IF(B13&lt;=16,"BK12",IF(B13&lt;=20,"BK15",IF(B13&lt;=32,"BK20",IF(B13&lt;=40,"BK25","BK30"))))</f>
        <v/>
      </c>
      <c r="L13" s="20">
        <f>IF(B13&lt;=16,"BF12",IF(B13&lt;=20,"BF15",IF(B13&lt;=32,"BF20",IF(B13&lt;=40,"BF25","BF30"))))</f>
        <v/>
      </c>
      <c r="M13" s="20" t="inlineStr">
        <is>
          <t>7205AC×2</t>
        </is>
      </c>
      <c r="N13" s="20" t="inlineStr">
        <is>
          <t>6005ZZ</t>
        </is>
      </c>
    </row>
    <row r="20">
      <c r="A20" s="10" t="inlineStr">
        <is>
          <t>手选下拉用</t>
        </is>
      </c>
    </row>
    <row r="21">
      <c r="A21" t="inlineStr">
        <is>
          <t>（用推荐）</t>
        </is>
      </c>
    </row>
    <row r="22">
      <c r="A22" t="inlineStr">
        <is>
          <t>SFU2510-3</t>
        </is>
      </c>
    </row>
    <row r="23">
      <c r="A23" t="inlineStr">
        <is>
          <t>SFU4010-3</t>
        </is>
      </c>
    </row>
    <row r="24">
      <c r="A24" t="inlineStr">
        <is>
          <t>SFU2010-3</t>
        </is>
      </c>
    </row>
    <row r="25">
      <c r="A25" t="inlineStr">
        <is>
          <t>SFU2505-3</t>
        </is>
      </c>
    </row>
    <row r="26">
      <c r="A26" t="inlineStr">
        <is>
          <t>SFU4005-3</t>
        </is>
      </c>
    </row>
    <row r="27">
      <c r="A27" t="inlineStr">
        <is>
          <t>SFU2005-3</t>
        </is>
      </c>
    </row>
    <row r="28">
      <c r="A28" t="inlineStr">
        <is>
          <t>SFU5010-3</t>
        </is>
      </c>
    </row>
    <row r="29">
      <c r="A29" t="inlineStr">
        <is>
          <t>SFU3205-3</t>
        </is>
      </c>
    </row>
    <row r="30">
      <c r="A30" t="inlineStr">
        <is>
          <t>SFU1605-3</t>
        </is>
      </c>
    </row>
    <row r="31">
      <c r="A31" t="inlineStr">
        <is>
          <t>SFU3210-3</t>
        </is>
      </c>
    </row>
    <row r="32">
      <c r="A32" t="inlineStr">
        <is>
          <t>SFU3220-3</t>
        </is>
      </c>
    </row>
    <row r="33">
      <c r="A33" t="inlineStr">
        <is>
          <t>SFU4020-3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0" customWidth="1" min="11" max="11"/>
    <col width="16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类型</t>
        </is>
      </c>
      <c r="B1" s="5" t="inlineStr">
        <is>
          <t>名称</t>
        </is>
      </c>
      <c r="C1" s="5" t="inlineStr">
        <is>
          <t>机座</t>
        </is>
      </c>
      <c r="D1" s="5" t="inlineStr">
        <is>
          <t>额定或静矩</t>
        </is>
      </c>
      <c r="E1" s="5" t="inlineStr">
        <is>
          <t>峰值或持矩</t>
        </is>
      </c>
      <c r="F1" s="5" t="inlineStr">
        <is>
          <t>额定转速</t>
        </is>
      </c>
      <c r="G1" s="5" t="inlineStr">
        <is>
          <t>功率档kW</t>
        </is>
      </c>
      <c r="H1" s="5" t="inlineStr">
        <is>
          <t>丝杠方案可用矩</t>
        </is>
      </c>
      <c r="I1" s="5" t="inlineStr">
        <is>
          <t>丝杠运行SF</t>
        </is>
      </c>
      <c r="J1" s="5" t="inlineStr">
        <is>
          <t>丝杠启动SF</t>
        </is>
      </c>
      <c r="K1" s="5" t="inlineStr">
        <is>
          <t>丝杠可用</t>
        </is>
      </c>
      <c r="L1" s="5" t="inlineStr">
        <is>
          <t>齿条方案可用矩</t>
        </is>
      </c>
      <c r="M1" s="5" t="inlineStr">
        <is>
          <t>齿条运行SF</t>
        </is>
      </c>
      <c r="N1" s="5" t="inlineStr">
        <is>
          <t>齿条启动SF</t>
        </is>
      </c>
      <c r="O1" s="5" t="inlineStr">
        <is>
          <t>齿条可用</t>
        </is>
      </c>
    </row>
    <row r="2">
      <c r="A2" s="20" t="inlineStr">
        <is>
          <t>伺服</t>
        </is>
      </c>
      <c r="B2" s="20" t="inlineStr">
        <is>
          <t>0.4 kW 伺服带刹车</t>
        </is>
      </c>
      <c r="C2" s="20" t="inlineStr">
        <is>
          <t>60</t>
        </is>
      </c>
      <c r="D2" s="24" t="n">
        <v>1.27</v>
      </c>
      <c r="E2" s="24" t="n">
        <v>3.81</v>
      </c>
      <c r="F2" s="24" t="n">
        <v>3000</v>
      </c>
      <c r="G2" s="24" t="n">
        <v>0.4</v>
      </c>
      <c r="H2" s="24">
        <f>IF(计算!$B$13&lt;=F2,D2,D2*F2/MAX(计算!$B$13,1))</f>
        <v/>
      </c>
      <c r="I2" s="24">
        <f>H2/MAX(计算!$B$14,0.01)</f>
        <v/>
      </c>
      <c r="J2" s="24">
        <f>E2/MAX(计算!$B$15,0.01)</f>
        <v/>
      </c>
      <c r="K2" s="24">
        <f>IF(AND(I2&gt;=输入!$B$13,J2&gt;=1.5,计算!$B$13&lt;=F2*1.05),1,0)</f>
        <v/>
      </c>
      <c r="L2" s="24">
        <f>IF(计算!$B$20&lt;=F2,D2,D2*F2/MAX(计算!$B$20,1))</f>
        <v/>
      </c>
      <c r="M2" s="24">
        <f>L2/MAX(计算!$B$21,0.01)</f>
        <v/>
      </c>
      <c r="N2" s="24">
        <f>E2/MAX(计算!$B$22,0.01)</f>
        <v/>
      </c>
      <c r="O2" s="24">
        <f>IF(AND(M2&gt;=输入!$B$13,N2&gt;=1.5,计算!$B$20&lt;=F2*1.05),1,0)</f>
        <v/>
      </c>
    </row>
    <row r="3">
      <c r="A3" s="20" t="inlineStr">
        <is>
          <t>伺服</t>
        </is>
      </c>
      <c r="B3" s="20" t="inlineStr">
        <is>
          <t>0.75 kW 伺服带刹车</t>
        </is>
      </c>
      <c r="C3" s="20" t="inlineStr">
        <is>
          <t>80</t>
        </is>
      </c>
      <c r="D3" s="24" t="n">
        <v>2.39</v>
      </c>
      <c r="E3" s="24" t="n">
        <v>7.16</v>
      </c>
      <c r="F3" s="24" t="n">
        <v>3000</v>
      </c>
      <c r="G3" s="24" t="n">
        <v>0.75</v>
      </c>
      <c r="H3" s="24">
        <f>IF(计算!$B$13&lt;=F3,D3,D3*F3/MAX(计算!$B$13,1))</f>
        <v/>
      </c>
      <c r="I3" s="24">
        <f>H3/MAX(计算!$B$14,0.01)</f>
        <v/>
      </c>
      <c r="J3" s="24">
        <f>E3/MAX(计算!$B$15,0.01)</f>
        <v/>
      </c>
      <c r="K3" s="24">
        <f>IF(AND(I3&gt;=输入!$B$13,J3&gt;=1.5,计算!$B$13&lt;=F3*1.05),1,0)</f>
        <v/>
      </c>
      <c r="L3" s="24">
        <f>IF(计算!$B$20&lt;=F3,D3,D3*F3/MAX(计算!$B$20,1))</f>
        <v/>
      </c>
      <c r="M3" s="24">
        <f>L3/MAX(计算!$B$21,0.01)</f>
        <v/>
      </c>
      <c r="N3" s="24">
        <f>E3/MAX(计算!$B$22,0.01)</f>
        <v/>
      </c>
      <c r="O3" s="24">
        <f>IF(AND(M3&gt;=输入!$B$13,N3&gt;=1.5,计算!$B$20&lt;=F3*1.05),1,0)</f>
        <v/>
      </c>
    </row>
    <row r="4">
      <c r="A4" s="20" t="inlineStr">
        <is>
          <t>伺服</t>
        </is>
      </c>
      <c r="B4" s="20" t="inlineStr">
        <is>
          <t>1.0 kW 伺服带刹车</t>
        </is>
      </c>
      <c r="C4" s="20" t="inlineStr">
        <is>
          <t>80</t>
        </is>
      </c>
      <c r="D4" s="24" t="n">
        <v>3.18</v>
      </c>
      <c r="E4" s="24" t="n">
        <v>9.539999999999999</v>
      </c>
      <c r="F4" s="24" t="n">
        <v>3000</v>
      </c>
      <c r="G4" s="24" t="n">
        <v>1</v>
      </c>
      <c r="H4" s="24">
        <f>IF(计算!$B$13&lt;=F4,D4,D4*F4/MAX(计算!$B$13,1))</f>
        <v/>
      </c>
      <c r="I4" s="24">
        <f>H4/MAX(计算!$B$14,0.01)</f>
        <v/>
      </c>
      <c r="J4" s="24">
        <f>E4/MAX(计算!$B$15,0.01)</f>
        <v/>
      </c>
      <c r="K4" s="24">
        <f>IF(AND(I4&gt;=输入!$B$13,J4&gt;=1.5,计算!$B$13&lt;=F4*1.05),1,0)</f>
        <v/>
      </c>
      <c r="L4" s="24">
        <f>IF(计算!$B$20&lt;=F4,D4,D4*F4/MAX(计算!$B$20,1))</f>
        <v/>
      </c>
      <c r="M4" s="24">
        <f>L4/MAX(计算!$B$21,0.01)</f>
        <v/>
      </c>
      <c r="N4" s="24">
        <f>E4/MAX(计算!$B$22,0.01)</f>
        <v/>
      </c>
      <c r="O4" s="24">
        <f>IF(AND(M4&gt;=输入!$B$13,N4&gt;=1.5,计算!$B$20&lt;=F4*1.05),1,0)</f>
        <v/>
      </c>
    </row>
    <row r="5">
      <c r="A5" s="20" t="inlineStr">
        <is>
          <t>伺服</t>
        </is>
      </c>
      <c r="B5" s="20" t="inlineStr">
        <is>
          <t>1.5 kW 伺服带刹车</t>
        </is>
      </c>
      <c r="C5" s="20" t="inlineStr">
        <is>
          <t>100</t>
        </is>
      </c>
      <c r="D5" s="24" t="n">
        <v>4.77</v>
      </c>
      <c r="E5" s="24" t="n">
        <v>14.3</v>
      </c>
      <c r="F5" s="24" t="n">
        <v>3000</v>
      </c>
      <c r="G5" s="24" t="n">
        <v>1.5</v>
      </c>
      <c r="H5" s="24">
        <f>IF(计算!$B$13&lt;=F5,D5,D5*F5/MAX(计算!$B$13,1))</f>
        <v/>
      </c>
      <c r="I5" s="24">
        <f>H5/MAX(计算!$B$14,0.01)</f>
        <v/>
      </c>
      <c r="J5" s="24">
        <f>E5/MAX(计算!$B$15,0.01)</f>
        <v/>
      </c>
      <c r="K5" s="24">
        <f>IF(AND(I5&gt;=输入!$B$13,J5&gt;=1.5,计算!$B$13&lt;=F5*1.05),1,0)</f>
        <v/>
      </c>
      <c r="L5" s="24">
        <f>IF(计算!$B$20&lt;=F5,D5,D5*F5/MAX(计算!$B$20,1))</f>
        <v/>
      </c>
      <c r="M5" s="24">
        <f>L5/MAX(计算!$B$21,0.01)</f>
        <v/>
      </c>
      <c r="N5" s="24">
        <f>E5/MAX(计算!$B$22,0.01)</f>
        <v/>
      </c>
      <c r="O5" s="24">
        <f>IF(AND(M5&gt;=输入!$B$13,N5&gt;=1.5,计算!$B$20&lt;=F5*1.05),1,0)</f>
        <v/>
      </c>
    </row>
    <row r="6">
      <c r="A6" s="20" t="inlineStr">
        <is>
          <t>伺服</t>
        </is>
      </c>
      <c r="B6" s="20" t="inlineStr">
        <is>
          <t>2.0 kW 伺服带刹车</t>
        </is>
      </c>
      <c r="C6" s="20" t="inlineStr">
        <is>
          <t>100</t>
        </is>
      </c>
      <c r="D6" s="24" t="n">
        <v>6.37</v>
      </c>
      <c r="E6" s="24" t="n">
        <v>19.1</v>
      </c>
      <c r="F6" s="24" t="n">
        <v>3000</v>
      </c>
      <c r="G6" s="24" t="n">
        <v>2</v>
      </c>
      <c r="H6" s="24">
        <f>IF(计算!$B$13&lt;=F6,D6,D6*F6/MAX(计算!$B$13,1))</f>
        <v/>
      </c>
      <c r="I6" s="24">
        <f>H6/MAX(计算!$B$14,0.01)</f>
        <v/>
      </c>
      <c r="J6" s="24">
        <f>E6/MAX(计算!$B$15,0.01)</f>
        <v/>
      </c>
      <c r="K6" s="24">
        <f>IF(AND(I6&gt;=输入!$B$13,J6&gt;=1.5,计算!$B$13&lt;=F6*1.05),1,0)</f>
        <v/>
      </c>
      <c r="L6" s="24">
        <f>IF(计算!$B$20&lt;=F6,D6,D6*F6/MAX(计算!$B$20,1))</f>
        <v/>
      </c>
      <c r="M6" s="24">
        <f>L6/MAX(计算!$B$21,0.01)</f>
        <v/>
      </c>
      <c r="N6" s="24">
        <f>E6/MAX(计算!$B$22,0.01)</f>
        <v/>
      </c>
      <c r="O6" s="24">
        <f>IF(AND(M6&gt;=输入!$B$13,N6&gt;=1.5,计算!$B$20&lt;=F6*1.05),1,0)</f>
        <v/>
      </c>
    </row>
    <row r="7">
      <c r="A7" s="20" t="inlineStr">
        <is>
          <t>伺服</t>
        </is>
      </c>
      <c r="B7" s="20" t="inlineStr">
        <is>
          <t>3.0 kW 伺服带刹车</t>
        </is>
      </c>
      <c r="C7" s="20" t="inlineStr">
        <is>
          <t>130</t>
        </is>
      </c>
      <c r="D7" s="24" t="n">
        <v>9.550000000000001</v>
      </c>
      <c r="E7" s="24" t="n">
        <v>28.6</v>
      </c>
      <c r="F7" s="24" t="n">
        <v>3000</v>
      </c>
      <c r="G7" s="24" t="n">
        <v>3</v>
      </c>
      <c r="H7" s="24">
        <f>IF(计算!$B$13&lt;=F7,D7,D7*F7/MAX(计算!$B$13,1))</f>
        <v/>
      </c>
      <c r="I7" s="24">
        <f>H7/MAX(计算!$B$14,0.01)</f>
        <v/>
      </c>
      <c r="J7" s="24">
        <f>E7/MAX(计算!$B$15,0.01)</f>
        <v/>
      </c>
      <c r="K7" s="24">
        <f>IF(AND(I7&gt;=输入!$B$13,J7&gt;=1.5,计算!$B$13&lt;=F7*1.05),1,0)</f>
        <v/>
      </c>
      <c r="L7" s="24">
        <f>IF(计算!$B$20&lt;=F7,D7,D7*F7/MAX(计算!$B$20,1))</f>
        <v/>
      </c>
      <c r="M7" s="24">
        <f>L7/MAX(计算!$B$21,0.01)</f>
        <v/>
      </c>
      <c r="N7" s="24">
        <f>E7/MAX(计算!$B$22,0.01)</f>
        <v/>
      </c>
      <c r="O7" s="24">
        <f>IF(AND(M7&gt;=输入!$B$13,N7&gt;=1.5,计算!$B$20&lt;=F7*1.05),1,0)</f>
        <v/>
      </c>
    </row>
    <row r="8">
      <c r="A8" s="20" t="inlineStr">
        <is>
          <t>步进</t>
        </is>
      </c>
      <c r="B8" s="20" t="inlineStr">
        <is>
          <t>57 闭环带刹车</t>
        </is>
      </c>
      <c r="C8" s="20" t="inlineStr">
        <is>
          <t>57</t>
        </is>
      </c>
      <c r="D8" s="24" t="n">
        <v>2.2</v>
      </c>
      <c r="E8" s="24" t="n">
        <v>2.2</v>
      </c>
      <c r="F8" s="24" t="n">
        <v>1500</v>
      </c>
      <c r="G8" s="24" t="n">
        <v>0.2</v>
      </c>
      <c r="H8" s="24">
        <f>D8/(1+(计算!$B$13/600)^1.6)</f>
        <v/>
      </c>
      <c r="I8" s="24">
        <f>H8/MAX(计算!$B$14,0.01)</f>
        <v/>
      </c>
      <c r="J8" s="24">
        <f>E8/MAX(计算!$B$15,0.01)</f>
        <v/>
      </c>
      <c r="K8" s="24">
        <f>IF(AND(I8&gt;=输入!$B$13,J8&gt;=1.5,计算!$B$13&lt;=F8*1.05),1,0)</f>
        <v/>
      </c>
      <c r="L8" s="24">
        <f>D8/(1+(计算!$B$20/600)^1.6)</f>
        <v/>
      </c>
      <c r="M8" s="24">
        <f>L8/MAX(计算!$B$21,0.01)</f>
        <v/>
      </c>
      <c r="N8" s="24">
        <f>E8/MAX(计算!$B$22,0.01)</f>
        <v/>
      </c>
      <c r="O8" s="24">
        <f>IF(AND(M8&gt;=输入!$B$13,N8&gt;=1.5,计算!$B$20&lt;=F8*1.05),1,0)</f>
        <v/>
      </c>
    </row>
    <row r="9">
      <c r="A9" s="20" t="inlineStr">
        <is>
          <t>步进</t>
        </is>
      </c>
      <c r="B9" s="20" t="inlineStr">
        <is>
          <t>86 闭环 8 N·m 带刹车</t>
        </is>
      </c>
      <c r="C9" s="20" t="inlineStr">
        <is>
          <t>86</t>
        </is>
      </c>
      <c r="D9" s="24" t="n">
        <v>8</v>
      </c>
      <c r="E9" s="24" t="n">
        <v>8</v>
      </c>
      <c r="F9" s="24" t="n">
        <v>1500</v>
      </c>
      <c r="G9" s="24" t="n">
        <v>0.55</v>
      </c>
      <c r="H9" s="24">
        <f>D9/(1+(计算!$B$13/600)^1.6)</f>
        <v/>
      </c>
      <c r="I9" s="24">
        <f>H9/MAX(计算!$B$14,0.01)</f>
        <v/>
      </c>
      <c r="J9" s="24">
        <f>E9/MAX(计算!$B$15,0.01)</f>
        <v/>
      </c>
      <c r="K9" s="24">
        <f>IF(AND(I9&gt;=输入!$B$13,J9&gt;=1.5,计算!$B$13&lt;=F9*1.05),1,0)</f>
        <v/>
      </c>
      <c r="L9" s="24">
        <f>D9/(1+(计算!$B$20/600)^1.6)</f>
        <v/>
      </c>
      <c r="M9" s="24">
        <f>L9/MAX(计算!$B$21,0.01)</f>
        <v/>
      </c>
      <c r="N9" s="24">
        <f>E9/MAX(计算!$B$22,0.01)</f>
        <v/>
      </c>
      <c r="O9" s="24">
        <f>IF(AND(M9&gt;=输入!$B$13,N9&gt;=1.5,计算!$B$20&lt;=F9*1.05),1,0)</f>
        <v/>
      </c>
    </row>
    <row r="10">
      <c r="A10" s="20" t="inlineStr">
        <is>
          <t>步进</t>
        </is>
      </c>
      <c r="B10" s="20" t="inlineStr">
        <is>
          <t>86 闭环 12 N·m 带刹车</t>
        </is>
      </c>
      <c r="C10" s="20" t="inlineStr">
        <is>
          <t>86</t>
        </is>
      </c>
      <c r="D10" s="24" t="n">
        <v>12</v>
      </c>
      <c r="E10" s="24" t="n">
        <v>12</v>
      </c>
      <c r="F10" s="24" t="n">
        <v>1500</v>
      </c>
      <c r="G10" s="24" t="n">
        <v>0.75</v>
      </c>
      <c r="H10" s="24">
        <f>D10/(1+(计算!$B$13/600)^1.6)</f>
        <v/>
      </c>
      <c r="I10" s="24">
        <f>H10/MAX(计算!$B$14,0.01)</f>
        <v/>
      </c>
      <c r="J10" s="24">
        <f>E10/MAX(计算!$B$15,0.01)</f>
        <v/>
      </c>
      <c r="K10" s="24">
        <f>IF(AND(I10&gt;=输入!$B$13,J10&gt;=1.5,计算!$B$13&lt;=F10*1.05),1,0)</f>
        <v/>
      </c>
      <c r="L10" s="24">
        <f>D10/(1+(计算!$B$20/600)^1.6)</f>
        <v/>
      </c>
      <c r="M10" s="24">
        <f>L10/MAX(计算!$B$21,0.01)</f>
        <v/>
      </c>
      <c r="N10" s="24">
        <f>E10/MAX(计算!$B$22,0.01)</f>
        <v/>
      </c>
      <c r="O10" s="24">
        <f>IF(AND(M10&gt;=输入!$B$13,N10&gt;=1.5,计算!$B$20&lt;=F10*1.05),1,0)</f>
        <v/>
      </c>
    </row>
    <row r="11">
      <c r="A11" s="20" t="inlineStr">
        <is>
          <t>步进</t>
        </is>
      </c>
      <c r="B11" s="20" t="inlineStr">
        <is>
          <t>110 闭环 20 N·m 带刹车</t>
        </is>
      </c>
      <c r="C11" s="20" t="inlineStr">
        <is>
          <t>110</t>
        </is>
      </c>
      <c r="D11" s="24" t="n">
        <v>20</v>
      </c>
      <c r="E11" s="24" t="n">
        <v>20</v>
      </c>
      <c r="F11" s="24" t="n">
        <v>1500</v>
      </c>
      <c r="G11" s="24" t="n">
        <v>1.2</v>
      </c>
      <c r="H11" s="24">
        <f>D11/(1+(计算!$B$13/600)^1.6)</f>
        <v/>
      </c>
      <c r="I11" s="24">
        <f>H11/MAX(计算!$B$14,0.01)</f>
        <v/>
      </c>
      <c r="J11" s="24">
        <f>E11/MAX(计算!$B$15,0.01)</f>
        <v/>
      </c>
      <c r="K11" s="24">
        <f>IF(AND(I11&gt;=输入!$B$13,J11&gt;=1.5,计算!$B$13&lt;=F11*1.05),1,0)</f>
        <v/>
      </c>
      <c r="L11" s="24">
        <f>D11/(1+(计算!$B$20/600)^1.6)</f>
        <v/>
      </c>
      <c r="M11" s="24">
        <f>L11/MAX(计算!$B$21,0.01)</f>
        <v/>
      </c>
      <c r="N11" s="24">
        <f>E11/MAX(计算!$B$22,0.01)</f>
        <v/>
      </c>
      <c r="O11" s="24">
        <f>IF(AND(M11&gt;=输入!$B$13,N11&gt;=1.5,计算!$B$20&lt;=F11*1.05),1,0)</f>
        <v/>
      </c>
    </row>
    <row r="12">
      <c r="A12" s="20" t="inlineStr">
        <is>
          <t>步进</t>
        </is>
      </c>
      <c r="B12" s="20" t="inlineStr">
        <is>
          <t>130 闭环 25 N·m 带刹车</t>
        </is>
      </c>
      <c r="C12" s="20" t="inlineStr">
        <is>
          <t>130</t>
        </is>
      </c>
      <c r="D12" s="24" t="n">
        <v>25</v>
      </c>
      <c r="E12" s="24" t="n">
        <v>25</v>
      </c>
      <c r="F12" s="24" t="n">
        <v>1500</v>
      </c>
      <c r="G12" s="24" t="n">
        <v>1.8</v>
      </c>
      <c r="H12" s="24">
        <f>D12/(1+(计算!$B$13/600)^1.6)</f>
        <v/>
      </c>
      <c r="I12" s="24">
        <f>H12/MAX(计算!$B$14,0.01)</f>
        <v/>
      </c>
      <c r="J12" s="24">
        <f>E12/MAX(计算!$B$15,0.01)</f>
        <v/>
      </c>
      <c r="K12" s="24">
        <f>IF(AND(I12&gt;=输入!$B$13,J12&gt;=1.5,计算!$B$13&lt;=F12*1.05),1,0)</f>
        <v/>
      </c>
      <c r="L12" s="24">
        <f>D12/(1+(计算!$B$20/600)^1.6)</f>
        <v/>
      </c>
      <c r="M12" s="24">
        <f>L12/MAX(计算!$B$21,0.01)</f>
        <v/>
      </c>
      <c r="N12" s="24">
        <f>E12/MAX(计算!$B$22,0.01)</f>
        <v/>
      </c>
      <c r="O12" s="24">
        <f>IF(AND(M12&gt;=输入!$B$13,N12&gt;=1.5,计算!$B$20&lt;=F12*1.05),1,0)</f>
        <v/>
      </c>
    </row>
    <row r="20">
      <c r="A20" t="inlineStr">
        <is>
          <t>伺服下拉</t>
        </is>
      </c>
      <c r="B20" t="inlineStr">
        <is>
          <t>步进下拉</t>
        </is>
      </c>
    </row>
    <row r="21">
      <c r="A21" t="inlineStr">
        <is>
          <t>（用推荐）</t>
        </is>
      </c>
      <c r="B21" t="inlineStr">
        <is>
          <t>（用推荐）</t>
        </is>
      </c>
    </row>
    <row r="22">
      <c r="A22" t="inlineStr">
        <is>
          <t>0.4 kW 伺服带刹车</t>
        </is>
      </c>
      <c r="B22" t="inlineStr">
        <is>
          <t>57 闭环带刹车</t>
        </is>
      </c>
    </row>
    <row r="23">
      <c r="A23" t="inlineStr">
        <is>
          <t>0.75 kW 伺服带刹车</t>
        </is>
      </c>
      <c r="B23" t="inlineStr">
        <is>
          <t>86 闭环 8 N·m 带刹车</t>
        </is>
      </c>
    </row>
    <row r="24">
      <c r="A24" t="inlineStr">
        <is>
          <t>1.0 kW 伺服带刹车</t>
        </is>
      </c>
      <c r="B24" t="inlineStr">
        <is>
          <t>86 闭环 12 N·m 带刹车</t>
        </is>
      </c>
    </row>
    <row r="25">
      <c r="A25" t="inlineStr">
        <is>
          <t>1.5 kW 伺服带刹车</t>
        </is>
      </c>
      <c r="B25" t="inlineStr">
        <is>
          <t>110 闭环 20 N·m 带刹车</t>
        </is>
      </c>
    </row>
    <row r="26">
      <c r="A26" t="inlineStr">
        <is>
          <t>2.0 kW 伺服带刹车</t>
        </is>
      </c>
      <c r="B26" t="inlineStr">
        <is>
          <t>130 闭环 25 N·m 带刹车</t>
        </is>
      </c>
    </row>
    <row r="27">
      <c r="A27" t="inlineStr">
        <is>
          <t>3.0 kW 伺服带刹车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2026-08-27T14:08:14Z</dcterms:created>
  <dcterms:modified xsi:type="dcterms:W3CDTF">2026-08-27T14:08:14Z</dcterms:modified>
</cp:coreProperties>
</file>